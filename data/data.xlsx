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sebas\OneDrive\Escritorio\Simulation Paradigms in Port Terminal Operations\data\"/>
    </mc:Choice>
  </mc:AlternateContent>
  <xr:revisionPtr revIDLastSave="0" documentId="8_{3D7185DF-1489-4231-9BC2-B693B0A32D3C}" xr6:coauthVersionLast="47" xr6:coauthVersionMax="47" xr10:uidLastSave="{00000000-0000-0000-0000-000000000000}"/>
  <bookViews>
    <workbookView xWindow="-108" yWindow="-108" windowWidth="23256" windowHeight="12456" activeTab="1" xr2:uid="{00000000-000D-0000-FFFF-FFFF00000000}"/>
  </bookViews>
  <sheets>
    <sheet name="Data" sheetId="6" r:id="rId1"/>
    <sheet name="Extracted Data + Decision" sheetId="1" r:id="rId2"/>
    <sheet name="Excluded" sheetId="2" r:id="rId3"/>
    <sheet name="Needs Verification" sheetId="3" r:id="rId4"/>
    <sheet name="Included" sheetId="4" r:id="rId5"/>
    <sheet name="Summary" sheetId="5" r:id="rId6"/>
  </sheets>
  <definedNames>
    <definedName name="_xlnm._FilterDatabase" localSheetId="0" hidden="1">Data!$A$1:$J$703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6ie+H0w6Y+5uV09SnRcCG8w1kyQlT1MnHEN+NeNqQWw="/>
    </ext>
  </extLst>
</workbook>
</file>

<file path=xl/calcChain.xml><?xml version="1.0" encoding="utf-8"?>
<calcChain xmlns="http://schemas.openxmlformats.org/spreadsheetml/2006/main">
  <c r="AA5" i="1" l="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4" i="1"/>
</calcChain>
</file>

<file path=xl/sharedStrings.xml><?xml version="1.0" encoding="utf-8"?>
<sst xmlns="http://schemas.openxmlformats.org/spreadsheetml/2006/main" count="11106" uniqueCount="3198">
  <si>
    <t>PHASE 2 SCREENING — 111 papers | Include: 87 | Exclude: 21 | Maybe: 3</t>
  </si>
  <si>
    <t>ID</t>
  </si>
  <si>
    <t>Phase 2 Decision</t>
  </si>
  <si>
    <t>Criterion Code</t>
  </si>
  <si>
    <t>Exclusion Reason</t>
  </si>
  <si>
    <t>CATEGORY 2 — Simulation paradigm and tool</t>
  </si>
  <si>
    <t>CATEGORY 3 — Terminal type and process</t>
  </si>
  <si>
    <t>CATEGORY 4 — Model characteristics</t>
  </si>
  <si>
    <t>CATEGORY 5 — Geographic context</t>
  </si>
  <si>
    <t>Main paradigm</t>
  </si>
  <si>
    <t>Hybrid combination</t>
  </si>
  <si>
    <t>Tool / Software</t>
  </si>
  <si>
    <t>Integrates optimization?</t>
  </si>
  <si>
    <t>Optimization method</t>
  </si>
  <si>
    <t>Terminal type</t>
  </si>
  <si>
    <t>Real terminal?</t>
  </si>
  <si>
    <t>Terminal / port name</t>
  </si>
  <si>
    <t>Main process</t>
  </si>
  <si>
    <t>Specific subprocess</t>
  </si>
  <si>
    <t>Time horizon</t>
  </si>
  <si>
    <t>Model objective</t>
  </si>
  <si>
    <t>Validated?</t>
  </si>
  <si>
    <t>Validation method</t>
  </si>
  <si>
    <t>Sensitivity analysis?</t>
  </si>
  <si>
    <t>Includes animation?</t>
  </si>
  <si>
    <t>Considers sustainability?</t>
  </si>
  <si>
    <t>Region</t>
  </si>
  <si>
    <t>Economic classification</t>
  </si>
  <si>
    <t>Latin American country?</t>
  </si>
  <si>
    <t>Country</t>
  </si>
  <si>
    <t>REF_001</t>
  </si>
  <si>
    <t>Include</t>
  </si>
  <si>
    <t>DES</t>
  </si>
  <si>
    <t>Not specified</t>
  </si>
  <si>
    <t>No</t>
  </si>
  <si>
    <t>Container</t>
  </si>
  <si>
    <t>Partial</t>
  </si>
  <si>
    <t>at the container terminal</t>
  </si>
  <si>
    <t>Landside</t>
  </si>
  <si>
    <t>gate operations, traffic management</t>
  </si>
  <si>
    <t>Operational</t>
  </si>
  <si>
    <t>Sustainability</t>
  </si>
  <si>
    <t>Yes</t>
  </si>
  <si>
    <t>Asia-Pacific</t>
  </si>
  <si>
    <t>Developing</t>
  </si>
  <si>
    <t>China</t>
  </si>
  <si>
    <t>REF_007</t>
  </si>
  <si>
    <t>Hybrid</t>
  </si>
  <si>
    <t>ABM+SDM</t>
  </si>
  <si>
    <t>AnyLogic</t>
  </si>
  <si>
    <t>Multi-agent optimization</t>
  </si>
  <si>
    <t>Port of Ningbo-Zhoushan</t>
  </si>
  <si>
    <t>Integrated</t>
  </si>
  <si>
    <t>Terminal parameter optimization, intermodal operations</t>
  </si>
  <si>
    <t>Strategic</t>
  </si>
  <si>
    <t>Optimization</t>
  </si>
  <si>
    <t>Partially</t>
  </si>
  <si>
    <t>REF_008</t>
  </si>
  <si>
    <t>at a port terminal</t>
  </si>
  <si>
    <t>traffic management</t>
  </si>
  <si>
    <t>Multiple</t>
  </si>
  <si>
    <t>Historical data, Literature comparison, Expert judgment</t>
  </si>
  <si>
    <t>Europe</t>
  </si>
  <si>
    <t>Developed</t>
  </si>
  <si>
    <t>Denmark</t>
  </si>
  <si>
    <t>REF_034</t>
  </si>
  <si>
    <t>Metaheuristic</t>
  </si>
  <si>
    <t>Port of Rotterdam</t>
  </si>
  <si>
    <t>Netherlands</t>
  </si>
  <si>
    <t>REF_037</t>
  </si>
  <si>
    <t>ABM</t>
  </si>
  <si>
    <t>Port of Shanghai</t>
  </si>
  <si>
    <t>AGV routing</t>
  </si>
  <si>
    <t>REF_038</t>
  </si>
  <si>
    <t>GPSS</t>
  </si>
  <si>
    <t>Port of Busan</t>
  </si>
  <si>
    <t>AGV routing, yard truck dispatching</t>
  </si>
  <si>
    <t>REF_040</t>
  </si>
  <si>
    <t>Linear programming</t>
  </si>
  <si>
    <t>the Grand Port</t>
  </si>
  <si>
    <t>France</t>
  </si>
  <si>
    <t>REF_042</t>
  </si>
  <si>
    <t>Arena, ProModel</t>
  </si>
  <si>
    <t>RoRo</t>
  </si>
  <si>
    <t>relation to port</t>
  </si>
  <si>
    <t>gate operations, yard truck dispatching, capacity planning, traffic management</t>
  </si>
  <si>
    <t>United Kingdom</t>
  </si>
  <si>
    <t>REF_045</t>
  </si>
  <si>
    <t>Education and training</t>
  </si>
  <si>
    <t>Historical data, Literature comparison</t>
  </si>
  <si>
    <t>Sweden</t>
  </si>
  <si>
    <t>REF_062</t>
  </si>
  <si>
    <t>Custom code</t>
  </si>
  <si>
    <t>of container port</t>
  </si>
  <si>
    <t>quay crane scheduling, AGV routing, yard truck dispatching</t>
  </si>
  <si>
    <t>Middle East</t>
  </si>
  <si>
    <t>Turkey</t>
  </si>
  <si>
    <t>REF_070</t>
  </si>
  <si>
    <t>increasing the port</t>
  </si>
  <si>
    <t>Literature comparison</t>
  </si>
  <si>
    <t>India</t>
  </si>
  <si>
    <t>REF_071</t>
  </si>
  <si>
    <t>Maybe</t>
  </si>
  <si>
    <t>CI5</t>
  </si>
  <si>
    <t>Terminal type not specified — requires full text verification</t>
  </si>
  <si>
    <t>FlexSim</t>
  </si>
  <si>
    <t>intermodal train loading, wagon pin configuration, container-wagon assignment</t>
  </si>
  <si>
    <t>Performance evaluation</t>
  </si>
  <si>
    <t>Poland</t>
  </si>
  <si>
    <t>REF_080</t>
  </si>
  <si>
    <t>berth allocation, quay crane scheduling, quay crane assignment, crane assignment</t>
  </si>
  <si>
    <t>REF_094</t>
  </si>
  <si>
    <t>parameter for container terminal</t>
  </si>
  <si>
    <t>Yard</t>
  </si>
  <si>
    <t>Finland</t>
  </si>
  <si>
    <t>REF_098</t>
  </si>
  <si>
    <t>South Korea</t>
  </si>
  <si>
    <t>REF_101</t>
  </si>
  <si>
    <t>Port of Singapore</t>
  </si>
  <si>
    <t>AGV routing, container routing</t>
  </si>
  <si>
    <t>Singapore</t>
  </si>
  <si>
    <t>REF_105</t>
  </si>
  <si>
    <t>Exclude</t>
  </si>
  <si>
    <t>CI4</t>
  </si>
  <si>
    <t>Mathematical/Analytical model — does not use DES, SDM or ABM as central method</t>
  </si>
  <si>
    <t>Mathematical/Analytical</t>
  </si>
  <si>
    <t>Liquid bulk</t>
  </si>
  <si>
    <t>REF_106</t>
  </si>
  <si>
    <t>Two-stage stochastic programming</t>
  </si>
  <si>
    <t>AGV scheduling, battery management</t>
  </si>
  <si>
    <t>REF_111</t>
  </si>
  <si>
    <t>The port</t>
  </si>
  <si>
    <t>Statistical tests</t>
  </si>
  <si>
    <t>Portugal</t>
  </si>
  <si>
    <t>REF_113</t>
  </si>
  <si>
    <t>development of port</t>
  </si>
  <si>
    <t>yard truck dispatching</t>
  </si>
  <si>
    <t>REF_121</t>
  </si>
  <si>
    <t>Port of Hamburg</t>
  </si>
  <si>
    <t>Germany</t>
  </si>
  <si>
    <t>REF_125</t>
  </si>
  <si>
    <t>Port of Guangzhou</t>
  </si>
  <si>
    <t>REF_128</t>
  </si>
  <si>
    <t>REF_129</t>
  </si>
  <si>
    <t>WOA+PSO metaheuristic hybrid</t>
  </si>
  <si>
    <t>an automated container terminal</t>
  </si>
  <si>
    <t>AGV scheduling, quay crane scheduling, yard crane scheduling</t>
  </si>
  <si>
    <t>Taiwan</t>
  </si>
  <si>
    <t>REF_130</t>
  </si>
  <si>
    <t>stacking/retrieval</t>
  </si>
  <si>
    <t>REF_131</t>
  </si>
  <si>
    <t>Genetic algorithm</t>
  </si>
  <si>
    <t>stacking/retrieval, AGV routing</t>
  </si>
  <si>
    <t xml:space="preserve"> </t>
  </si>
  <si>
    <t>REF_133</t>
  </si>
  <si>
    <t>yard planning</t>
  </si>
  <si>
    <t>REF_139</t>
  </si>
  <si>
    <t>Tecnomatix</t>
  </si>
  <si>
    <t>AGV routing, ship unloading, container storage, road truck loading</t>
  </si>
  <si>
    <t>Slovakia / Czech Republic</t>
  </si>
  <si>
    <t>REF_140</t>
  </si>
  <si>
    <t>SDM</t>
  </si>
  <si>
    <t>Surabaya River Port</t>
  </si>
  <si>
    <t>Terminal capacity planning, berth operations, yard operations</t>
  </si>
  <si>
    <t>Capacity planning</t>
  </si>
  <si>
    <t>Indonesia</t>
  </si>
  <si>
    <t>REF_141</t>
  </si>
  <si>
    <t>Mathematical optimization</t>
  </si>
  <si>
    <t>ECT</t>
  </si>
  <si>
    <t>Container storage strategy, intermodal terminal</t>
  </si>
  <si>
    <t>Tactical</t>
  </si>
  <si>
    <t>REF_149</t>
  </si>
  <si>
    <t>Arena</t>
  </si>
  <si>
    <t>Italy</t>
  </si>
  <si>
    <t>REF_178</t>
  </si>
  <si>
    <t>Port of Rotterdam (ECT)</t>
  </si>
  <si>
    <t>AGV routing, traffic management</t>
  </si>
  <si>
    <t>REF_193</t>
  </si>
  <si>
    <t>Port of Durban</t>
  </si>
  <si>
    <t>REF_214</t>
  </si>
  <si>
    <t>Port of Tianjin</t>
  </si>
  <si>
    <t>Historical data</t>
  </si>
  <si>
    <t>REF_218</t>
  </si>
  <si>
    <t>Linear programming, Dynamic programming</t>
  </si>
  <si>
    <t>2023 container port</t>
  </si>
  <si>
    <t>REF_226</t>
  </si>
  <si>
    <t>green port</t>
  </si>
  <si>
    <t>REF_229</t>
  </si>
  <si>
    <t>Many port</t>
  </si>
  <si>
    <t>REF_233</t>
  </si>
  <si>
    <t>Reinforcement learning</t>
  </si>
  <si>
    <t>for enhancing port</t>
  </si>
  <si>
    <t>truck dispatching, yard truck dispatching</t>
  </si>
  <si>
    <t>REF_256</t>
  </si>
  <si>
    <t>are essential port</t>
  </si>
  <si>
    <t>Hong Kong</t>
  </si>
  <si>
    <t>REF_341</t>
  </si>
  <si>
    <t>Internal truck dispatching, yard crane scheduling, quay crane scheduling</t>
  </si>
  <si>
    <t>REF_353</t>
  </si>
  <si>
    <t>Ro Port Terminal</t>
  </si>
  <si>
    <t>Tractor operations, ICE vs electric vehicles comparison</t>
  </si>
  <si>
    <t>REF_355</t>
  </si>
  <si>
    <t>REF_368</t>
  </si>
  <si>
    <t>REF_369</t>
  </si>
  <si>
    <t>Carbon emission evaluation</t>
  </si>
  <si>
    <t>REF_383</t>
  </si>
  <si>
    <t>Noisy optimization / metaheuristic</t>
  </si>
  <si>
    <t>Yard crane dispatching</t>
  </si>
  <si>
    <t>REF_384</t>
  </si>
  <si>
    <t>REF_390</t>
  </si>
  <si>
    <t>to the port</t>
  </si>
  <si>
    <t>REF_399</t>
  </si>
  <si>
    <t>of a container terminal</t>
  </si>
  <si>
    <t>REF_404</t>
  </si>
  <si>
    <t>coordination between container terminal</t>
  </si>
  <si>
    <t>REF_413</t>
  </si>
  <si>
    <t>Port of Antwerp</t>
  </si>
  <si>
    <t>Belgium</t>
  </si>
  <si>
    <t>REF_428</t>
  </si>
  <si>
    <t>Slovenia</t>
  </si>
  <si>
    <t>REF_430</t>
  </si>
  <si>
    <t>REF_432</t>
  </si>
  <si>
    <t>calling onthose port</t>
  </si>
  <si>
    <t>REF_433</t>
  </si>
  <si>
    <t>perspectives on port</t>
  </si>
  <si>
    <t>Seaside</t>
  </si>
  <si>
    <t>container routing, traffic management</t>
  </si>
  <si>
    <t>REF_437</t>
  </si>
  <si>
    <t>of
extended port terminal</t>
  </si>
  <si>
    <t>Scenario analysis</t>
  </si>
  <si>
    <t>REF_447</t>
  </si>
  <si>
    <t>Port of Rijeka</t>
  </si>
  <si>
    <t>Traffic flow simulation, gate operations</t>
  </si>
  <si>
    <t>Croatia</t>
  </si>
  <si>
    <t>REF_455</t>
  </si>
  <si>
    <t>terminals and port</t>
  </si>
  <si>
    <t>Expert judgment</t>
  </si>
  <si>
    <t>North America</t>
  </si>
  <si>
    <t>USA</t>
  </si>
  <si>
    <t>REF_457</t>
  </si>
  <si>
    <t>CI6</t>
  </si>
  <si>
    <t>Main process not specified — requires full text verification</t>
  </si>
  <si>
    <t>MCDM (AHP/NR-TOPSIS/entropy weight)</t>
  </si>
  <si>
    <t>Port of Bohai Sea</t>
  </si>
  <si>
    <t>Terminal layout planning, quay crane sheduling, AGV routing, yard crane sheduling</t>
  </si>
  <si>
    <t>REF_460</t>
  </si>
  <si>
    <t>truck dispatching, traffic management</t>
  </si>
  <si>
    <t>REF_462</t>
  </si>
  <si>
    <t>REF_465</t>
  </si>
  <si>
    <t>Java</t>
  </si>
  <si>
    <t>Approach
with Port</t>
  </si>
  <si>
    <t>container routing</t>
  </si>
  <si>
    <t>Malaysia</t>
  </si>
  <si>
    <t>REF_466</t>
  </si>
  <si>
    <t>Genetic algorithm, Metaheuristic</t>
  </si>
  <si>
    <t>in a container terminal</t>
  </si>
  <si>
    <t>quay crane scheduling, quay crane assignment, stowage planning, crane assignment, yard truck dispatching</t>
  </si>
  <si>
    <t>REF_467</t>
  </si>
  <si>
    <t>REF_480</t>
  </si>
  <si>
    <t>REF_482</t>
  </si>
  <si>
    <t>Port of Shenzhen</t>
  </si>
  <si>
    <t>REF_486</t>
  </si>
  <si>
    <t>in the container terminal</t>
  </si>
  <si>
    <t>Historical data, Statistical tests</t>
  </si>
  <si>
    <t>REF_487</t>
  </si>
  <si>
    <t>ships in port</t>
  </si>
  <si>
    <t>Renewable energy system planning</t>
  </si>
  <si>
    <t>REF_492</t>
  </si>
  <si>
    <t>Paradigm not specified — cannot confirm use of DES, SDM or ABM</t>
  </si>
  <si>
    <t>Kazakhstan</t>
  </si>
  <si>
    <t>REF_493</t>
  </si>
  <si>
    <t>can evaluate port</t>
  </si>
  <si>
    <t>REF_495</t>
  </si>
  <si>
    <t>Port of Gioia Tauro</t>
  </si>
  <si>
    <t>berth allocation, AGV routing, yard truck dispatching</t>
  </si>
  <si>
    <t>REF_558</t>
  </si>
  <si>
    <t>Tractor operations, ICE vs electric vs e-AGT comparison</t>
  </si>
  <si>
    <t>REF_602</t>
  </si>
  <si>
    <t>REF_610</t>
  </si>
  <si>
    <t>Traffic optimization with IoV</t>
  </si>
  <si>
    <t>tools for port</t>
  </si>
  <si>
    <t>Internal traffic automation, AGV routing</t>
  </si>
  <si>
    <t>Spain</t>
  </si>
  <si>
    <t>REF_612</t>
  </si>
  <si>
    <t>Optimization model for power supply allocation</t>
  </si>
  <si>
    <t>On-shore power supply planning</t>
  </si>
  <si>
    <t>REF_624</t>
  </si>
  <si>
    <t>quay crane scheduling, crane assignment</t>
  </si>
  <si>
    <t>REF_683</t>
  </si>
  <si>
    <t>at
Klaipeda port</t>
  </si>
  <si>
    <t>truck dispatching, AGV routing, yard truck dispatching</t>
  </si>
  <si>
    <t>REF_694</t>
  </si>
  <si>
    <t>to prevent container terminal</t>
  </si>
  <si>
    <t>Risk assessment, ergonomics, AHP</t>
  </si>
  <si>
    <t>REF_702</t>
  </si>
  <si>
    <t>REF_161</t>
  </si>
  <si>
    <t>Arena / Matlab</t>
  </si>
  <si>
    <t>APM JNPT Mumbai</t>
  </si>
  <si>
    <t>Diseño de recursos / Ship unloading</t>
  </si>
  <si>
    <t>Strategic + Tactical</t>
  </si>
  <si>
    <t>Comparison with simulation</t>
  </si>
  <si>
    <t>REF_166</t>
  </si>
  <si>
    <t>Dry bulk</t>
  </si>
  <si>
    <t>RUSAL Aughinish</t>
  </si>
  <si>
    <t>Berth activity / Loading</t>
  </si>
  <si>
    <t>Operational + Tactical</t>
  </si>
  <si>
    <t>Ireland</t>
  </si>
  <si>
    <t>REF_168</t>
  </si>
  <si>
    <t>Mathematical programming / Metaheuristic</t>
  </si>
  <si>
    <t>Landside + Yard</t>
  </si>
  <si>
    <t>TAS / Dual transactions</t>
  </si>
  <si>
    <t>Animation / Expert judgment</t>
  </si>
  <si>
    <t>REF_191</t>
  </si>
  <si>
    <t>No especificado</t>
  </si>
  <si>
    <t>Seaside + Yard</t>
  </si>
  <si>
    <t>Integrated planning</t>
  </si>
  <si>
    <t>Model check / Expert judgment</t>
  </si>
  <si>
    <t>REF_192</t>
  </si>
  <si>
    <t>DES + ABM</t>
  </si>
  <si>
    <t>Theoretical formulas</t>
  </si>
  <si>
    <t>REF_197</t>
  </si>
  <si>
    <t>PSIGHOS (Java)</t>
  </si>
  <si>
    <t>Metaheuristic (EDA/LS)</t>
  </si>
  <si>
    <t>Quay crane scheduling</t>
  </si>
  <si>
    <t>Robustness tests</t>
  </si>
  <si>
    <t>REF_198</t>
  </si>
  <si>
    <t>AutoMod</t>
  </si>
  <si>
    <t>Metaheuristic (evolutionary)</t>
  </si>
  <si>
    <t>Shekou Terminal</t>
  </si>
  <si>
    <t>Vehicle dispatching</t>
  </si>
  <si>
    <t>Mathematical comparison</t>
  </si>
  <si>
    <t>REF_205</t>
  </si>
  <si>
    <t>FlexTerm</t>
  </si>
  <si>
    <t>AHP</t>
  </si>
  <si>
    <t>Container (Reefer)</t>
  </si>
  <si>
    <t>Puerto Caribeño</t>
  </si>
  <si>
    <t>Stacking / Storage</t>
  </si>
  <si>
    <t>Sustainability + Performance evaluation</t>
  </si>
  <si>
    <t>Latin America</t>
  </si>
  <si>
    <t>Colombia</t>
  </si>
  <si>
    <t>REF_273</t>
  </si>
  <si>
    <t>Plant Simulation</t>
  </si>
  <si>
    <t>Metaheuristic (TPE/BO/SA)</t>
  </si>
  <si>
    <t>Horizontal transport</t>
  </si>
  <si>
    <t>Empirical data</t>
  </si>
  <si>
    <t>REF_278</t>
  </si>
  <si>
    <t>DOE (Design of Experiments)</t>
  </si>
  <si>
    <t>Puerto Malasia</t>
  </si>
  <si>
    <t>Berthing area / Ship traffic</t>
  </si>
  <si>
    <t>REF_280</t>
  </si>
  <si>
    <t>Belgrado (Batajnica)</t>
  </si>
  <si>
    <t>Evaluación financiera / Riesgo</t>
  </si>
  <si>
    <t>Statistical analysis</t>
  </si>
  <si>
    <t>Serbia</t>
  </si>
  <si>
    <t>REF_283</t>
  </si>
  <si>
    <t>Shanghai Automated</t>
  </si>
  <si>
    <t>AGV routing / Scheduling</t>
  </si>
  <si>
    <t>REF_287</t>
  </si>
  <si>
    <t>Rizhao Shihua</t>
  </si>
  <si>
    <t>Navigation / Channel improvement</t>
  </si>
  <si>
    <t>Model comparison</t>
  </si>
  <si>
    <t>REF_288</t>
  </si>
  <si>
    <t>Ensenada Terminal</t>
  </si>
  <si>
    <t>Plan de expansión</t>
  </si>
  <si>
    <t>Historical data / Expert judgment</t>
  </si>
  <si>
    <t>Mexico</t>
  </si>
  <si>
    <t>REF_289</t>
  </si>
  <si>
    <t>SmartSim</t>
  </si>
  <si>
    <t>Shanghai (Xiaoyangshan)</t>
  </si>
  <si>
    <t>Process layout design</t>
  </si>
  <si>
    <t>Real system logic</t>
  </si>
  <si>
    <t>REF_292</t>
  </si>
  <si>
    <t>Process Simulate Human</t>
  </si>
  <si>
    <t>Ergonomic assessment</t>
  </si>
  <si>
    <t>Operators / Expert judgment</t>
  </si>
  <si>
    <t>REF_295</t>
  </si>
  <si>
    <t>Simio</t>
  </si>
  <si>
    <t>Container (Empty)</t>
  </si>
  <si>
    <t>Puerto Sur Chile</t>
  </si>
  <si>
    <t>Layout evaluation / Safety</t>
  </si>
  <si>
    <t>Operations team</t>
  </si>
  <si>
    <t>Chile</t>
  </si>
  <si>
    <t>REF_296</t>
  </si>
  <si>
    <t>Deep reinforcement learning</t>
  </si>
  <si>
    <t>Equipment scheduling</t>
  </si>
  <si>
    <t>Observed data</t>
  </si>
  <si>
    <t>REF_298</t>
  </si>
  <si>
    <t>Metaheuristic (OptQuest)</t>
  </si>
  <si>
    <t>Puerto de Izmir</t>
  </si>
  <si>
    <t>Berth allocation</t>
  </si>
  <si>
    <t>REF_301</t>
  </si>
  <si>
    <t>WITNESS</t>
  </si>
  <si>
    <t>DCT Gdansk</t>
  </si>
  <si>
    <t>Yard operations / Relocation</t>
  </si>
  <si>
    <t>REF_302</t>
  </si>
  <si>
    <t>OptQuest / Expert profiling</t>
  </si>
  <si>
    <t>Puerto de Norvik</t>
  </si>
  <si>
    <t>Parking / Berth allocation</t>
  </si>
  <si>
    <t>REF_305</t>
  </si>
  <si>
    <t>Mathematical programming (TSSP)</t>
  </si>
  <si>
    <t>Shanghai Yangshan</t>
  </si>
  <si>
    <t>Yard layout design</t>
  </si>
  <si>
    <t>REF_308</t>
  </si>
  <si>
    <t>CI4 + CI6</t>
  </si>
  <si>
    <t>Aspen HYSYS is a chemical process simulator, not DES/SDM/ABM. Models physical-chemical process (LNG vaporization), not terminal operational processes.</t>
  </si>
  <si>
    <t>Aspen HYSYS</t>
  </si>
  <si>
    <t>Metaheuristic (PSO)</t>
  </si>
  <si>
    <t>Energy consumption / Vaporization</t>
  </si>
  <si>
    <t>Sustainability + Optimization</t>
  </si>
  <si>
    <t>Field data</t>
  </si>
  <si>
    <t>REF_309</t>
  </si>
  <si>
    <t>PSA Genova Pra'</t>
  </si>
  <si>
    <t>Vehicle traffic / Congestion</t>
  </si>
  <si>
    <t>Calibration</t>
  </si>
  <si>
    <t>REF_315</t>
  </si>
  <si>
    <t>Container stacking problem</t>
  </si>
  <si>
    <t>REF_316</t>
  </si>
  <si>
    <t>Python (SPADE)</t>
  </si>
  <si>
    <t>MCDM (SMAA/MOORA)</t>
  </si>
  <si>
    <t>PCT Indonesia</t>
  </si>
  <si>
    <t>Business process parallelization</t>
  </si>
  <si>
    <t>REF_321</t>
  </si>
  <si>
    <t>Simio / TensorFlow</t>
  </si>
  <si>
    <t>Puerto de Ningbo</t>
  </si>
  <si>
    <t>Arrival time prediction</t>
  </si>
  <si>
    <t>REF_325</t>
  </si>
  <si>
    <t>Double cycling / Peak shaving</t>
  </si>
  <si>
    <t>REF_337</t>
  </si>
  <si>
    <t>Puerto de Tianjin</t>
  </si>
  <si>
    <t>Horizontal transportation</t>
  </si>
  <si>
    <t>REF_338</t>
  </si>
  <si>
    <t>Port A (Corea)</t>
  </si>
  <si>
    <t>AGV loading system</t>
  </si>
  <si>
    <t>Real data</t>
  </si>
  <si>
    <t>REF_207</t>
  </si>
  <si>
    <t>TCO analysis / Programming</t>
  </si>
  <si>
    <t>Altenwerder (CTA)</t>
  </si>
  <si>
    <t>AGV scheduling / Charging</t>
  </si>
  <si>
    <t>Sustainability + Capacity planning</t>
  </si>
  <si>
    <t>Real data (BESIC Project)</t>
  </si>
  <si>
    <t>REF_317</t>
  </si>
  <si>
    <t>Concepto Floaterm / Floating cranes</t>
  </si>
  <si>
    <t>Statistical analysis / Replications</t>
  </si>
  <si>
    <t>REF_330</t>
  </si>
  <si>
    <t>Vessel emissions at berth</t>
  </si>
  <si>
    <t>AIS data / Real case</t>
  </si>
  <si>
    <t>EXCLUDED IN PHASE 2 — 21 papers</t>
  </si>
  <si>
    <t>Phase2_Decision</t>
  </si>
  <si>
    <t>Criterion_Code</t>
  </si>
  <si>
    <t>Exclusion_Reason</t>
  </si>
  <si>
    <t>NEEDS FULL TEXT VERIFICATION — 3 papers</t>
  </si>
  <si>
    <t>container port</t>
  </si>
  <si>
    <t>INCLUDED — 87 papers confirmed for data extraction</t>
  </si>
  <si>
    <t>PHASE 2 SCREENING SUMMARY — 111 papers evaluated</t>
  </si>
  <si>
    <t>PHASE 2 DECISIONS</t>
  </si>
  <si>
    <t>EXCLUSIONS BY CRITERION</t>
  </si>
  <si>
    <t>Decision</t>
  </si>
  <si>
    <t>N</t>
  </si>
  <si>
    <t>%</t>
  </si>
  <si>
    <t>Criterion</t>
  </si>
  <si>
    <t>Reason</t>
  </si>
  <si>
    <t>78.4%</t>
  </si>
  <si>
    <t>Does not use DES, SDM or ABM as central method</t>
  </si>
  <si>
    <t>18.9%</t>
  </si>
  <si>
    <t>Chemical process simulator (Aspen HYSYS) + models physical-chemical process, not terminal operations</t>
  </si>
  <si>
    <t>2.7%</t>
  </si>
  <si>
    <t>TOTAL</t>
  </si>
  <si>
    <t>100%</t>
  </si>
  <si>
    <t>PARADIGM DISTRIBUTION (included only)</t>
  </si>
  <si>
    <t>Paradigm</t>
  </si>
  <si>
    <t>75.9%</t>
  </si>
  <si>
    <t>16.1%</t>
  </si>
  <si>
    <t>5.7%</t>
  </si>
  <si>
    <t>2.3%</t>
  </si>
  <si>
    <t>NOTE ON REF_308 (Aspen HYSYS)</t>
  </si>
  <si>
    <t>• REF_308 uses Aspen HYSYS, a chemical process simulator for modeling LNG vaporization and energy consumption.</t>
  </si>
  <si>
    <t>• Excluded by CI4 + CI6: Aspen HYSYS does not implement DES, SDM or ABM paradigms.</t>
  </si>
  <si>
    <t>• The paper models physical-chemical processes (LNG vaporization), not operational processes of the terminal (seaside, yard, landside).</t>
  </si>
  <si>
    <t>• This case reveals a gap in CI4 wording. A clarification note has been added to the methodology: 'Process simulation tools used for chemical engineering modeling (e.g., Aspen HYSYS) were excluded as they do not correspond to the operational simulation paradigms under review.'</t>
  </si>
  <si>
    <t>Pending</t>
  </si>
  <si>
    <t>The article presents the problem of containers storage on a storage yard in an rail-road intermodal land and the emission of harmful exhaust gases into the atmosphere. This issue was considered from the point of view of the distance traveled by transshipment devices, the duration of loading work and the resulting energy expenditure and CO2 emissions. The research was dictated by the current limited number of publications in the area of the distribution of containers on storage yards in rail-road intermodal terminals. The vast majority of the literature is devoted in this field to marine intermodal terminals, which operating characteristics are different from inland terminals. The importance of this problem resulting from the growing turnover of containers transported by rail transport was also pointed out. The systematic increase of this type of transport and the depletion of the intermodal services' operating capability makes it necessary to improve the processes taking place in the storage area. The possibility of improving these processes in addition to the use of computer tools is also realized through the use of modern transshipment devices. Depending on the area of their operation and the scope of their application, these devices use various types of power supply, which affect environmental pollution. In the case of gantry cranes considered in this article, their power supply may come from both combustion engines, hybrids and electric engines. Therefore, from the point of view of minimization of harmful exhaust gases emissions into the atmosphere, in the article, the problem of choosing the device for carrying out transshipment tasks was also taken up. For the purposes of the research, the processes of container handling in the rail-road intermodal terminal have been presented in detail. A review of literature in the field of container storage methods and strategies was carried out. The considered container reloading processes in the wagon-yard relation were modeled in the FlexSim simulation environment. The constructed simulation model was used to develop 5 variants of the distribution of containers on the storage yard as a function of their location on the train. Container deployments on the storage yard were carried out for both random and fixed distribution of containers on the train. In the case of a random arrangement of containers on the train, the tests were carried out for 100 replications. On the basis of simulation tests, the distance covered by the transshipment device (RTG crane) and the time of carrying out the loading tasks in particular variants were determined. Using the crane data provided by the crane manufacturer, the energy expenditure was calculated in individual variants for different power supply methods (combustion engine, hybrid, electric engine). The obtained results allowed the selection of the best strategy for containers storage, taking into account the amount of CO2 emitted to the atmosphere by transshipment devices.</t>
  </si>
  <si>
    <t>English</t>
  </si>
  <si>
    <t>WoS</t>
  </si>
  <si>
    <t>Article</t>
  </si>
  <si>
    <t>ROCZNIK OCHRONA SRODOWISKA</t>
  </si>
  <si>
    <t>Selection of a Container Storage Strategy at the Rail-road Intermodal Terminal as a Function of Minimization of the Energy Expenditure of Transshipment Devices and CO2 Emissions</t>
  </si>
  <si>
    <t>During the installation of a cable oil terminal, it is easy to leave scratches on the main insulation owing to uneven forces when removing the semi-conductive layer. Scratch defects cause field intensity distortion, which leads to partial discharge and insulation failure. This study attempts to establish a simulation model of a 220 kV cable terminal to determine the effect of the length, depth, and position of the scratch on the maximum field strength at the defect. The simulation and experiment demonstrate that the maximum field strength at the defect increases with greater length and decreases as the depth increases. Therefore, a prediction method for the terminal defect field strength based on a multivariate nonlinear regression model was proposed in this study. When the defect is located at 20 mm from the root of the stress cone, the maximum field strength is 14.5 MV/m when the length and depth are 2 mm and 1 mm, respectively. The maximum field strength at the defect was predicted based on the length, depth, and position of the scratch defect to evaluate the severity of the defect.</t>
  </si>
  <si>
    <t>10.3389/fenrg.2024.1462991</t>
  </si>
  <si>
    <t>FRONTIERS IN ENERGY RESEARCH</t>
  </si>
  <si>
    <t>Field strength prediction of 220 kV cable oil terminal defects based on multivariate nonlinear regression model</t>
  </si>
  <si>
    <t>REF_701</t>
  </si>
  <si>
    <t>Container terminals worldwide are embracing automation to improve their efficiency and throughput performance for dynamic business requirements. However, to achieve the desired cost and operational efficiency of an automated container terminal, a thorough analysis of its performance under various design parameters is necessary at the design stage. In this paper, we propose a novel queuing model for the performance analysis of a container terminal that uses automated lifting vehicles for container transport. A special type of two-phase server is used to capture complex two-phase operations of quay cranes, automated lifting vehicles, and stack cranes, which were ignored in previous studies. Since existing methods cannot solve our resulting queuing model, we develop a new network decomposition-based approach to solve it. First, we validate the proposed analytical framework by developing a simulation model and find that it is quite accurate with a less than 5% average absolute percentage error in the average throughput time. Next, we quantify the value of accurately modeling the two-phase operations of resources in a container terminal. In our numerical analysis, we find that ignoring two-phase operations can lead to an overestimation of the average throughput time from 25% to 65%. Thus, our new modeling approach assists terminal designers in accurately estimating the performance measures. Furthermore, we illustrate an application of our model in resource planning and provide important design insights.</t>
  </si>
  <si>
    <t>10.1016/j.ijpe.2025.109646</t>
  </si>
  <si>
    <t>INTERNATIONAL JOURNAL OF PRODUCTION ECONOMICS</t>
  </si>
  <si>
    <t>Stochastic modeling and analysis of two-phase operations in container terminal with automated lifting vehicles: A novel queuing approach</t>
  </si>
  <si>
    <t>REF_700</t>
  </si>
  <si>
    <t>Introduction: In the paper, we examine the energy consumption efficiency of specialized container diesel trucks engaged in container transportation at a seaport terminal. Objectives: Using the container terminal at Klaipeda in Lithuania as the background for the research, we produced an improved energy consumption model for measuring the theoretical energy consumption and regeneration of diesel trucks at the terminal and provide a comparative analysis. Methods: We created a mathematical model which describes the instantaneous energy consumption of the diesel trucks, taking into account their dynamic properties and the overall geometry of their routes-Ship-Truck-Stack-Ship-using the superposition principle. We investigated other critical parameters relevant to the model and provide a statistical evaluation of the transportation process using data from a case study of Klaipeda port, where we collected measurements of container transportation parameters using georeferenced movement detection and logs from wireless equipment positioned on the diesel-powered container trucks. Results: The modeling results showed that an instantaneous evaluation of energy consumption can reveal areas in the container transportation process which have the highest energy loss and require the introduction of new management and process control initiatives to address the regulations which are designed to decrease harmful industrial emissions and encourage novel technologies and thereby increase the eco-friendliness of existing systems. Conclusion: Based on the research results, the article can provide a reference for the estimation of diesel truck efficiency in seaport terminal operations.</t>
  </si>
  <si>
    <t>10.1177/00368504211035596</t>
  </si>
  <si>
    <t>SCIENCE PROGRESS</t>
  </si>
  <si>
    <t>Evaluation of the energy consumption of container diesel trucks in a container terminal: A case study at Klaipeda port</t>
  </si>
  <si>
    <t>REF_699</t>
  </si>
  <si>
    <t>This paper studies the effect of a handshake area on the performance of twin automated stacking cranes (ASCs) operating on top of a stack with transfer zones at both seaside and landside. The handshake area is a temporary storage location so that one crane can start a request and leave the container there for the other crane to complete the request. By testing settings with and without such a handshake area, the goal is to find robust rules which result in the best performance, measured as (1) the makespan to finish all requests and (2) the total waiting time of the cranes due to interference or nonconsecutive delivery of containers in the handshake area (blocking time). The effect of five decision variables on the performance are tested. The decision variables are (1) the way the requests are handled by the cranes (scheduling), (2) the storage location of the containers in the handshake area, (3) the location of the handshake area in the stack, (4) the size of the handshake area and (5) the number of handshake areas in the stack. For each decision variable, multiple heuristics are developed. The results indicate that settings without a handshake area outperform settings with a handshake area for virtually all instances tested when using the same scheduling heuristic. For both types of settings, the choice for a scheduling heuristic impacts the final performance the most. In this study, we opt for simple heuristics since container terminal operators prefer to avoid any complexity in coordinating and scheduling two ASCs for safety and simplicity reasons. (C) 2017 Elsevier B.V. All rights reserved.</t>
  </si>
  <si>
    <t>10.1016/j.ejor.2017.01.037</t>
  </si>
  <si>
    <t>EUROPEAN JOURNAL OF OPERATIONAL RESEARCH</t>
  </si>
  <si>
    <t>A simulation study of the performance of twin automated stacking cranes at a seaport container terminal</t>
  </si>
  <si>
    <t>REF_698</t>
  </si>
  <si>
    <t>In the ongoing decade, port logistics in Europe have been exposed to intense competition. Especially container ports experience competition not only for ships but also for supply chains. To adapt to this trend, terminal operators are improving the efficiency in port logistics through, among other things, automation of port operations. Most of these efforts concern processes handling shipped goods. Instead of concentrating on these well-researched improvements, we explored the feasibility and economic potential of an intelligent lighting control system. Often automating handling processes need high investments in hard- and software. This smart lighting system is supposed to control demand-actuated outdoor lights in a harbour environment. In this research, movement profiles of straddle carriers and infrastructural data were gathered and refined to build a model of the observed container terminal. The modelled infrastructure includes the position of every lighting tower and its illuminant as well as their specific power consumption and the respective area, which those lights illume. To control these lights, we developed a control algorithm. We investigated through simulation experiments the power savings for this autonomous lighting control system. Multiple influential factors of this control concept were evaluated by varying the parameterization of the algorithm. A gathered data set, containing trajectories of operating straddle carriers during full terminal utilization, is the basis for the mentioned experiments. The results of varying the utilization rate of the terminal have identified a relationship between capacity and percental power consumption, in the form of a root function. The more straddle carriers run, the less the overall power consumption is increasing. Using the intelligent light control system on full utilization saves 14.67% of the total energy. In the case of 80 % terminal utilization, 18.22 % of total energy is subject for saving effects. Besides these results, we were able to explore the influences of the algorithm parameterization on the energy savings and could assess these solutions economically. (C) 2020 The Authors. Published by Elsevier B.V. Peer-review under responsibility of the scientific committee of the 5th International Conference on System-Integrated Intelligence.</t>
  </si>
  <si>
    <t>10.1016/j.promfg.2020.11.038</t>
  </si>
  <si>
    <t>Proceedings Paper</t>
  </si>
  <si>
    <t>PROCEEDINGS OF THE 5TH INTERNATIONAL CONFERENCE ON SYSTEM-INTEGRATED INTELLIGENCE (SYSINT 2020): SYSTEM-INTEGRATED INTELLIGENCE - INTELLIGENT, FLEXIBLE AND CONNECTED SYSTEMS IN PRODUCTS AND PRODUCTION</t>
  </si>
  <si>
    <t>Development of an Autonomous Light Control Algorithm with a Simulation Model of a Container Terminal</t>
  </si>
  <si>
    <t>REF_697</t>
  </si>
  <si>
    <t>The main contribution of this paper is to quantify the impact of the allocation of facilities, including the number of facilities and the fuels adopted by facilities, on carbon emissions. In order to deal with the complex queuing network of container terminals, a simulation model is established with the changing of the number of and the fuel adopted by facilities as inputs. Firstly, the operation process and complex queuing network of container terminals are described to explain why simulation technology needs to be used. Then, various simulation experiments based on a container terminal in Algeria are designed and carried out. Finally, the carbon emissions from facilities and ships at berth and inside container terminals, and the total carbon emissions inside container terminals, are obtained and analyzed. Results show that the emissions from facilities are only a small fraction of the total emissions of container terminals. Improving the number of trucks and yard cranes can help reduce carbon emissions, but when the number continues to rise, the emissions are decreased very slightly. The results obtained and proposed method can be applied to build a green container terminal, which can also be used for similar problems.</t>
  </si>
  <si>
    <t>10.3390/su10061813</t>
  </si>
  <si>
    <t>SUSTAINABILITY</t>
  </si>
  <si>
    <t>The Impact of the Allocation of Facilities on Reducing Carbon Emissions from a Green Container Terminal Perspective</t>
  </si>
  <si>
    <t>REF_696</t>
  </si>
  <si>
    <t>We present a dynamical modeling of integrated (end-to-end) container terminal operations using finite state machine (FSM) framework where each state machine is represented by a discrete-event system (DES) formulation. The hybrid model incorporates the operations of quay cranes (QC), internal trucks (IT), and yard cranes (YC) and also the selection of storage positions in container yard (CY) and vessel bays. The QC and YC are connected by the IT in our models. As opposed to the commonly adapted modeling in container terminal operations, in which the entire information/inputs to the systems are known for a defined planning horizon, in this research we use real-time trucks, crane, and container storage operations information, which are always updated as the time evolves. The dynamical model shows that the predicted state variables closely follow the actual field data from a container terminal in Tanjung Priuk, Jakarta, Indonesia. Subsequently, using the integrated container terminal hybrid model, we proposed a model predictive algorithm (MPA) to obtain the near-optimal solution of the integrated terminal operations problem, namely the simultaneous allocation and scheduling of QC, IT, and YC, as well as selecting the storage location for the inbound and outbound containers in the CY and vessel. The numerical experiment based on the extensive Monte Carlo simulation and real dataset show that the MPA outperforms by 3-6% both of the policies currently implemented by the terminal operator and the state-of-the-art method from the current literature.</t>
  </si>
  <si>
    <t>10.1109/TITS.2021.3083598</t>
  </si>
  <si>
    <t>IEEE TRANSACTIONS ON INTELLIGENT TRANSPORTATION SYSTEMS</t>
  </si>
  <si>
    <t>Simultaneous Allocation and Scheduling of Quay Cranes, Yard Cranes, and Trucks in Dynamical Integrated Container Terminal Operations</t>
  </si>
  <si>
    <t>REF_695</t>
  </si>
  <si>
    <t>Tasks and procedures involving lashing/unlashing operators have evident ergonomic criticalities but looking at the scientific background and on actual regulations there is a lack of attention toward procedures for a full ergonomic risk assessment. There are no scientific articles, no normative and standards that report ergonomic assessments for lashing and unlashing operations. According to this research gap, the proposed research seeks to contribute at different levels: carrying out a context analysis on how lashing and unlashing operations are carried out; identifying tools and methodologies that can support a comprehensive ergonomic analysis; combining the elements mentioned above in a risks assessment framework for ergonomic evaluation and prioritization. While pursuing such goals, the authors came up with a risk assessment framework based on simulation coupled with ergonomic methods and Analytical Hierarchy Process (AHP). An application of the framework has been conducted in an Italian container terminal in 2021. First, processes and tasks have been analyzed to develop a simulation model capable of reproducing the evolution over the time of the real system. As next step, the ergonomic issues related to lashing/unlashing operations have been identified by applying the ergonomic methods through the simulation model. Finally, AHP has been used to rank, in an analytical way, critical ergonomic operations and to establish priority of interventions. The identification of critical ergonomic issues along with their analytical prioritization provide operations management as well as normative and standard makers with meaningful inputs towards greater standardization of procedures, based on ergonomic factors, in container terminal sector.</t>
  </si>
  <si>
    <t>10.1016/j.ssci.2022.106017</t>
  </si>
  <si>
    <t>SAFETY SCIENCE</t>
  </si>
  <si>
    <t>A risk assessment framework based on ergonomic methods and AHP for prioritizing interventions to prevent container terminal operator?s musculoskeletal disorders</t>
  </si>
  <si>
    <t>Containerships operating or berthing at ports contributes much to the drastic air pollution in port cities. In the paper, a multi-agent-theory-based simulation model is established and the impact of three different emission reduction strategies, namely, a shore power system, switching to low-sulfur marine fuels, and increasing quay crane efficiency on container ports' emission reduction and their associated costs are analyzed with a case study of the Shekou Container Terminal in China. The objective is to lay a theoretical foundation for government to optimize its pollution reducing strategies with costs and emission reduction target considered. The results show that the shore power system achieves the highest comprehensive emission reduction effect for only one strategy adopted. A combination of shore power system and increasing quay crane efficiency has the highest emission reduction potential for pair strategies adopted. All three strategies combined acquire the most significant emission reduction and there is no negative correlation among these three strategies. From the perspective of economic benefits, a low-sulfur fuel oil strategy achieves the best performance in carbon dioxide and sulfur dioxide reductions. The research also suggests that if government has sufficient fund, usage of shore power system should be given priority; otherwise, a low-sulfur fuel oil measure is suggested. (c) 2021 Elsevier Ltd. All rights reserved.</t>
  </si>
  <si>
    <t>10.1016/j.jclepro.2021.126820</t>
  </si>
  <si>
    <t>JOURNAL OF CLEANER PRODUCTION</t>
  </si>
  <si>
    <t>Evaluation of emission reduction strategies for berthing containerships: A case study of the Shekou Container Terminal</t>
  </si>
  <si>
    <t>REF_693</t>
  </si>
  <si>
    <t>Booming world trade, scarcity of land for yard expansion in many ports, and deployment of new, massive megaships have magnified the need to find better ways of performing container terminal operations. Automated guided vehicle systems (AGVS) have been proposed as possible candidates for future automated container operation because of their ability to significantly improve the performance of container terminals. However, before the deployment of AGVS, computer model simulations to investigate the potential problems are necessary to successfully implement the system. Petri net is a well-known modeling tool that, with the advantages of its graphic nature and the availability of mathematical analysis techniques, is clearly suitable for the application of automated container terminal systems (ACTS) modeling. A timed-place petri net (TPPN) model of ACTS using automated guided vehicles (AGVs) is constructed. The TPPN model contains a transportation layout module, two unit submodels, an AGV unit submodel, and a crane unit submodel. The transportation layout module serves as a basic unit to construct the transportation road map of the system. The AGV unit submodel is used to model the traveling behavior of the AGV on a node-to-node basis, and the crane unit submodel is used to model the crane's container-loading and -unloading movement. A collision-free control rule, which is primely modeled using inhibitor and actuator arcs, is embedded in the submodels to ensure a collision-free environment for the AGVs. The important properties of the model such as liveness, safeness, and reversibility are analyzed.</t>
  </si>
  <si>
    <t>10.3141/1782-09</t>
  </si>
  <si>
    <t>Article; Proceedings Paper</t>
  </si>
  <si>
    <t>MARINE TRANSPORTATION AND PORT OPERATIONS: MARINE TRANSPORTATION</t>
  </si>
  <si>
    <t>Petri net modeling and analysis of automated container terminal using automated guided vehicle systems</t>
  </si>
  <si>
    <t>REF_692</t>
  </si>
  <si>
    <t>Under the constraints of limited spaces and imbalanced traffic volumes (for both in and out directions) of container gates, reversible lane layouts become an economical and practical way to improve the service level of container terminal systems and make the maximum use of the current terminal resources. Together with a consideration of minimized total costs (both construction and operating) of terminal gate system, this paper first developed an optimization model to decide the number and scheduling rules of the reversible lanes at a terminal gate. A metaheuristic algorithm was built to solve the optimal model. Meanwhile, to reflect the randomness and dynamics property of the terminal gate system in practice, parameters that cannot be calculated from conventional analytic methods are obtained through a simulation model. Finally, a hub container terminal in the northeast of China was employed to verify the effectiveness of the proposed method and provide a theoretical foundation for the construction and management of terminal gate systems.</t>
  </si>
  <si>
    <t>10.1155/2018/1768536</t>
  </si>
  <si>
    <t>JOURNAL OF ADVANCED TRANSPORTATION</t>
  </si>
  <si>
    <t>A Simheuristic Method for the Reversible Lanes Allocation and Scheduling Problem at Smart Container Terminal Gate</t>
  </si>
  <si>
    <t>REF_691</t>
  </si>
  <si>
    <t>The extension and application of a queuing network model to the management of core logistic processes at the Gioia Tauro marine container terminal is presented. Real features incorporated in the model require simulation to solve it. A manager-friendly simulator is designed for the real case study, under the constraint of guaranteeing a finer representation of. the congestion phenomenon at the port channel; the port admission policy for newly arrived vessels in the roadstead; the management of berthing slots; the assignment of cranes for discharge/loading operations. The application software is presented through a detailed discussion of its features, as these appear on panel for system definition and analysis. The simulator computes point and interval estimates for system performance measures. Statistical computations are based upon the issue of batching elementary observations either within the same run or across multiple runs. Simulation experiments are presented and discussed with the aim of recommending a cost-effective method for interval estimates in quantitative scenario analysis.</t>
  </si>
  <si>
    <t>21ST EUROPEAN CONFERENCE ON MODELLING AND SIMULATION ECMS 2007: SIMULATIONS IN UNITED EUROPE</t>
  </si>
  <si>
    <t>An integrated simulation model for channel contention and berth management at a maritime container terminal</t>
  </si>
  <si>
    <t>REF_690</t>
  </si>
  <si>
    <t>Combined with the success of containerization, globalization has brought about tremendous. increases in container transport around the world. Increased container transport leads to larger container ships, which increase demands on seaport container terminals and their equipment. In this situation, the success of container terminals depends on a fast transshipment process combined with reduced costs. It is thus necessary to optimize the three main logistic processes at seaport container terminals: loading and unloading container ships, storing containers, and receiving and delivering containers to and from the hinterland. In another process, the internal transport subsystem ensures the interconnection between previous logistic activities. The optimization of an internal transport cycle is presented for a marine container terminal managed by straddle carriers (SCs), which are among the most used technologies for container transfer. Three subsystems are analyzed in detail: landside transportation, container storage in the yard, and quayside transportation. The conflicts and decisions that arise from operations in these subsystems are analyzed, and optimization algorithms are proposed. Moreover, a simulation is run on Spain's Barcelona Container Terminal to test the algorithms and compare different SC operation strategies (e.g., single cycle versus double cycle) and different-sized fleets of handling equipment. The simulation model is explained in detail, and the main decision-making algorithms from the model are presented and formulated.</t>
  </si>
  <si>
    <t>10.3141/2033-04</t>
  </si>
  <si>
    <t>TRANSPORTATION RESEARCH RECORD</t>
  </si>
  <si>
    <t>Optimization of internal transport cycle in a marine container terminal managed by straddle carriers</t>
  </si>
  <si>
    <t>REF_689</t>
  </si>
  <si>
    <t>In recent years, the demand of optimizing traffic organization have been more and more urgent at the relevant cruise terminals with the rapid development of China's cruise economy. Cruise travel is new to China. China Cruise tourists are significantly different from Europe and America in the cruise Terminal traffic behavior. To solve the problem of traffic organization is to enhance the service level of tourist service satisfaction and promote the sustainable development of the cruise terminals. In this paper, the traffic organization methods with multiple berths are verified by the simulation model, which are brought into the construction scheme and have achieved good practical results.</t>
  </si>
  <si>
    <t>PROCEEDINGS OF THE 2017 3RD INTERNATIONAL CONFERENCE ON ECONOMICS, SOCIAL SCIENCE, ARTS, EDUCATION AND MANAGEMENT ENGINEERING (ESSAEME 2017)</t>
  </si>
  <si>
    <t>Cruise Terminal Traffic Organization Methods with Multiple Berths in ChinaCruise Terminal Traffic Organization Methods with Multiple Berths in China</t>
  </si>
  <si>
    <t>REF_688</t>
  </si>
  <si>
    <t>In container terminals, containers are transported from the quay to the storage yard and vice versa by yard trucks (YTs) which are used for tran. fer operations. We focus on the operational Management of the dynamic transfer equipment deployed between the quay and the container yard during the container unloading/loading process with a given number of ships according to a previously planned berth schedule. This study discusses how information technology enhancement activities raise port competitiveness. Advanced operation systems are designed, and selected according to their investment effects. These systems are preferred to infrastructure expansion and additional equipment acquisition. Using simulation methodology, we attempt to prove that real-time data collection by using radio frequency identification (RFID) and dynamic operation of YT improves productivity and enhances resource utilization. As a result,, it was found that about 25% of productivity; improvement may be realized by simulation study. Computational calculations fir validation of simulation models based oil real-time data are provided (C) 2009 Journal of Mechanical Engineering. All rights reserved.</t>
  </si>
  <si>
    <t>STROJNISKI VESTNIK-JOURNAL OF MECHANICAL ENGINEERING</t>
  </si>
  <si>
    <t>Dynamic Equipment Deployment at a Container Terminal: Transfer System Based on Real-Time Positioning</t>
  </si>
  <si>
    <t>REF_687</t>
  </si>
  <si>
    <t>Multimodal container terminals (MMCTs) are very complex and consequently require synchronization and balancing of container transfers at each node. The problem being investigated is the minimization of ship delays at the port by considering handling and travelling time of containers from the time the ship arrives at port until all the containers from that ship leave the port. When dealing with export containers, the problem would be that of the handling and travelling time of the containers from when they first arrive at the port until the ship carrying the containers departs from the port. Owing to the dynamic nature of the environment, a large number of timely decisions have been reviewed in accordance with the changing conditions of the MMCTs. The model has been run and tested with a small-size problem using CPLEX. A more realistic model is extremely difficult to solve and is in fact proven to be computationally intractable (NP-hard). Metaheuristics have been developed to deal with the intractability so that near-optimal solutions could be obtained in reasonable time.</t>
  </si>
  <si>
    <t>10.1057/palgrave.jors.2602253</t>
  </si>
  <si>
    <t>JOURNAL OF THE OPERATIONAL RESEARCH SOCIETY</t>
  </si>
  <si>
    <t>Alternative algorithms for the optimization of a simulation model of a multimodal container terminal</t>
  </si>
  <si>
    <t>REF_686</t>
  </si>
  <si>
    <t>Products can be transported in containers from one port to another. At a container terminal these containers are transshipped from one mode of transportation to another. Cranes remove containers from a ship and put them at a certain time (i.e., release time) into a buffer area with limited capacity. A vehicle lifts a container from the buffer area before the buffer area is full (i.e., in due time) and transports the container from the buffer area to the storage area. At the storage area the container is placed in another buffer area. The advantage of using these buffer areas is the resultant decoupling of the unloading and transportation processes. We study the case in which each container has a time window [release time, due time] in which the transportation should start. The objective is to minimize the vehicle fleet size such that the transportation of each container starts within its time window. No literature has been found studying this relevant problem. We have developed an integer linear programming model to solve the problem of determining vehicle requirements under time-window constraints. We use simulation to validate the estimates of the vehicle fleet size by the analytical model. We test the ability of the model under various conditions. From these numerical experiments we conclude that the results of the analytical model are close to the results of the simulation model. Furthermore, we conclude that the analytical model performs well in the context of a container terminal.</t>
  </si>
  <si>
    <t>10.1287/trsc.1030.0063</t>
  </si>
  <si>
    <t>TRANSPORTATION SCIENCE</t>
  </si>
  <si>
    <t>Minimum vehicle fleet size under time-window constraints at a container terminal</t>
  </si>
  <si>
    <t>REF_685</t>
  </si>
  <si>
    <t>Quay cranes and transport vehicles are most important handling equipments at a container terminal. Their productivities play significant roles in a container terminal's working efficiency. This paper presents an effective simulation approach to achieve an optimal integrated quantitative allocation on quay cranes and transport vehicles. To optimize the handling system at a terminal, an optimal transport vehicles routing is employed firstly. Then a computer-aided simulation model is established, and by specific numerical experiment, an optimal allocation is determined for underlying scenarios.</t>
  </si>
  <si>
    <t>PROCEEDINGS OF THE FOURTH INTERNATIONAL CONFERENCE ON MANAGEMENT SCIENCE AND ENGINEERING MANAGEMENT</t>
  </si>
  <si>
    <t>A simulation study on optimal integrated allocation of quay cranes and transport vehicles at a container terminal</t>
  </si>
  <si>
    <t>REF_684</t>
  </si>
  <si>
    <t>Based on the fractal self-similarity theory, this paper puts forward the service level analysis method of container terminal's logistics system. Based on the detailed study of container terminal's logistics system, firstly, the self-similarity characteristics of container terminal' logistics system are extracted to verify the applicability of fractal theory to container terminal's logistics system. Secondly, the simulation analysis model is established, which measures the service level of container terminal's logistics system from nine indicators, such as annual throughput, average service time of the ships, average ship-time efficiency, average utilization rate of berths, average daily occupancy rate of container yard, etc. The simulation model is applied to a container terminal, and the results show that the model can not only evaluate the overall service level of the container terminal, but also analyze the influence of different storage time and ship inter-arrival time on the service level of the terminal, so as to provide the basis for the terminal operation decision. The constructed model is a useful tool for assessing the validity of ideas about the functional interrelationships between the dry port's primary parameters, as well as the system's long-term viability.</t>
  </si>
  <si>
    <t>10.1007/s10479-021-04400-w</t>
  </si>
  <si>
    <t>ANNALS OF OPERATIONS RESEARCH</t>
  </si>
  <si>
    <t>Research on service level analysis method of container terminal's logistics system based on fractal self-similarity theory</t>
  </si>
  <si>
    <t>Container terminals play a crucial role in exporting and importing goods, where export and import containers are loaded and unloaded. Containers are usually loaded and unloaded with a dock crane. A quay crane is assigned at a container port in advance, considering a ship's arrival schedule. However, allocating a quay crane is difficult owing to the limited number of quay cranes available and the need to consider the shipping timetable. In this study, by considering the schedule of each ship arriving from a container terminal, the number of unloaded containers for each ship, and the limited number of quay cranes, we conduct quay crane assignment through a simulation model to increase the productivity of a container terminal. Alongside, it is evident that artificial intelligence (AI) and machine learning (ML) are necessary for port management in many ways, from berth scheduling to quay allocation. In this study, we also investigate the applicability of ML and metaheuristic approaches in quay allocation problems and explore further possibilities. In this study, we also highlight the sensor-based automation of quay allocation using Internet of Things (IoT) technologies for future research in the domain of port and terminal management.</t>
  </si>
  <si>
    <t>10.18494/SAM3645</t>
  </si>
  <si>
    <t>SENSORS AND MATERIALS</t>
  </si>
  <si>
    <t>Port Container Terminal Quay Crane Allocation Based on Simulation and Machine Learning Method</t>
  </si>
  <si>
    <t>REF_682</t>
  </si>
  <si>
    <t>With rapid expansion of international trade, one distinctive feature of the current port industry is that competition is more intensive than previously. By virtue of information technology enhancement, many efforts to raise port competitiveness through an advanced operation system are actively being made, and judging from the viewpoint of investment effect, these efforts are more preferable than infrastructure expansion and additional equipment acquisition. Based on simulation, this study has tried to prove that RFID-based real-time location system (RTLS) data collection and dynamic operation of transfer equipment brings a positive effect on the productivity improvement and resource utilization enhancement. Moreover, this study on the demand for the real-time data for port operation have been made, and operation processes have been redesigned along with the collection of related data, and based on them, simulations have been conducted. As a result of them, much higher productivity improvement could be expected.</t>
  </si>
  <si>
    <t>10.1007/978-3-642-32054-5_129</t>
  </si>
  <si>
    <t>PROCEEDINGS OF 2ND CONFERENCE ON LOGISTICS, INFORMATICS AND SERVICE SCIENCE (LISS 2012), VOLS 1 AND 2</t>
  </si>
  <si>
    <t>A Simulation Model for Container Terminal Dynamic Operation System Using Real-Time Positioning Approach</t>
  </si>
  <si>
    <t>REF_681</t>
  </si>
  <si>
    <t>The container transportation and containerization for the material movement has been increasing rapidly in recent years. The transportation sector has been undergoing very rapid and multifarious changes against the international competitor. These changes are reflected in the alliances between shipping companies, introduction of larger ships as a cost reduction measure, and the application of integrated logistics to satisfy the needs of customers. The needs of many shipping companies for calling at ports are the adequate terminal facilities and other services, sufficient channel depth, efficient handling, the cost benefit of port fees and container handling, the convenient customs formalities, and so on. In this paper, a conceptual design of a floating container terminal is proposed. And the container handling efficiency on the floating container terminals are evaluated through a practical container handling simulation model, which is constructed by a Petri network model. Further a feasibility study is conducted by comparing the initial cost with those of some existing container terminals.</t>
  </si>
  <si>
    <t>MARITIME TRANSPORTATION AND EXPLOITATION OF OCEAN AND COASTAL RESOURCES, VOLS 1 AND 2: VOL 1: VESSELS FOR MARITIME TRANSPORTATION</t>
  </si>
  <si>
    <t>A conceptual design and functional assessment of the floating container terminal with high activities</t>
  </si>
  <si>
    <t>REF_680</t>
  </si>
  <si>
    <t>Due to a long-lasting increase in global trade, only interrupted by the late-2000s economic crisis, container traffic has grown dramatically. As a result, new terminals have opened and existing terminals face much higher container handling than before. In order to meet these challenges, one of the biggest container terminals in Turkey has begun to reconsider its terminal operations and to achieve improvements of its overall logistics performance. Because the factors impacting the terminal's performance are highly interrelated, a simulation model was developed to analyze the terminal operations, to identify potential bottleneck resources and to highlight directions for the future development of the configuration and the operational control system. For a long-established terminal like the one considered in this study the options for improving the overall performance are limited by the geographical dimensions and by the existing terminal equipment. By use of the simulation model the terminal operations are evaluated under different workload scenarios and alternative configurations are tested in order to support strategic decisions on the terminal's development.</t>
  </si>
  <si>
    <t>10.1007/s10696-011-9128-x</t>
  </si>
  <si>
    <t>FLEXIBLE SERVICES AND MANUFACTURING JOURNAL</t>
  </si>
  <si>
    <t>Strategies for improving a long-established terminal's performance: a simulation study of a Turkish container terminal</t>
  </si>
  <si>
    <t>REF_679</t>
  </si>
  <si>
    <t>Focusing on FB-ACT study, the article analyses the overall unloading efficiency of the terminals under various configuration plans with different frame bridge system. We analyze the possible variations of the equipments number and the operational range in intermediate FB system, as well as the different ways of the transition between the intermediate FB system and the front operating system, and then summarize five specific working scenarios. Meanwhile, based on the data from an actual automated terminal, the study establishes a corresponding simulation model and compares the terminal operating efficiency in different plans in terms of the operation time when they have to unload the same amount of containers. On the basis of the above research, the paper identifies the key factors influencing the terminal operational efficiency by means of conducting the sensitivity analysis to the most efficient scenario, thus providing a reference for the practical application of this new kind of terminal.</t>
  </si>
  <si>
    <t>2014 INTERNATIONAL CONFERENCE ON INFORMATION SCIENCE, ELECTRONICS AND ELECTRICAL ENGINEERING (ISEEE), VOLS 1-3</t>
  </si>
  <si>
    <t>Analysis on operation of a Low-Frame Bridge system in automated container terminal</t>
  </si>
  <si>
    <t>REF_678</t>
  </si>
  <si>
    <t>Maritime container terminals are essential nodes in global supply chains, enabling the efficient transshipment and distribution of standardized cargo containers. The efficiency of these terminals is vital as it determines the throughput rate and operational cost-effectiveness, thereby affecting the logistical efficiency of supply chains and the economic performance of interconnected markets. This paper discusses how efficiency can be increased with respect to container transfer within a terminal. Therefore, two mathematical models of the terminal operations are derived, which represent the transshipment and movement of containers within the terminal as well as between different modes of transport. For both models, finite-dimensional optimization problems are formulated and solved numerically using the optimization software WORHP for different scenarios. Results indicate that the proposed optimal control strategy is capable of effectively utilizing resources in the maritime container terminal where as the amounts of containers in the yard in for unoptimised case reach 35000 containers and for the optimised case it is varied between 4850 and 5100 containers.</t>
  </si>
  <si>
    <t>10.1109/TITS.2025.3555812</t>
  </si>
  <si>
    <t>Optimal Control of Maritime Container Terminal Operations for Effective Utilization of Resources</t>
  </si>
  <si>
    <t>REF_677</t>
  </si>
  <si>
    <t>In this paper, though taking a container terminal in the Pearl River Delta Area as a case, a simulation model of the wharf apron is builed Handing efficiency and equipments capacity factors are the most important indexes Of a port. The first function of this model is optimization of loading and unloading operation, though analysing different handling plannings and flows. And the other is partical optimizaiotn of the wharf apron operation, though adjusting the number and the speed of container trucks. Minimizing total handling time is the terminal goal. What we know from the analyzing result is, the simulation results are believable, and the model is corrective and of great practical significance.</t>
  </si>
  <si>
    <t>4TH INTERNATIONAL CONFERENCE ON ADVANCED COMPUTER THEORY AND ENGINEERING ( ICACTE 2011)</t>
  </si>
  <si>
    <t>THE RESEARCH OF LOADING AND UNLOADING OPERATION IN CONTAINER TERMINAL BASED ON EM-PLANT</t>
  </si>
  <si>
    <t>REF_676</t>
  </si>
  <si>
    <t>This paper presents the application of simulation to determine the inspection resources needed to minimize disruption resulting from increased security inspection of containers at an intermodal terminal. The initial simulation run intentionally started with a large number of resources. Additional simulation runs were made with a continual reduction of inspection resources until entity throughput at the terminal dropped below allowable limits. Simulation Run 9, with six tailgate inspection stations, three intensive inspection stations, and one general purpose inspector, provided the minimum resources that did not disrupt container throughput. This paper includes the description of the conceptual model framework, the simulation model, the experimental design, and simulation results.</t>
  </si>
  <si>
    <t>10.3141/2097-13</t>
  </si>
  <si>
    <t>Resources to Minimize Disruption Caused by Increased Security Inspection of Containers at an Intermodal Terminal Application of Simulation</t>
  </si>
  <si>
    <t>REF_675</t>
  </si>
  <si>
    <t>In this paper, an extended Generalized Stochastic Petri Net (e-GSPN) was proposed for effective modeling of complex container terminal logistics systems (CTLS). To cope with their complexity and implement rule based dynamic scheduling of CTLS, a special type of place called rule place and a special type of transition called decision transition are integrated in GSPN using object oriented approaches. Guided by this e-GSPN method, a simulation model was built as an example to illustrate the modeling approaches. According to actual operations in one container terminal of Shanghai port in China, we give a case study to analyze the relationships between decision rules and collisions.</t>
  </si>
  <si>
    <t>2006 IEEE INTERNATIONAL CONFERENCE ON SERVICE OPERATIONS AND LOGISTICS, AND INFORMATICS (SOLI 2006), PROCEEDINGS</t>
  </si>
  <si>
    <t>Modeling and analysis of container terminal logistics system by extended Generalized Stochastic Petri Nets</t>
  </si>
  <si>
    <t>REF_674</t>
  </si>
  <si>
    <t>In this paper, we introduce a storage allocation strategy for a transshipment container hub using a new automated container terminal called the hybrid GRID system. This study provides a novel approach of developing an efficient storage allocation strategy for new terminal concepts so that the complex formulations can be approximated by simple functions that can be quickly computed. Specifically, the storage allocation strategy is derived from an optimal allocation decision learned from a Mixed Integer Programming (MIP) model. Some input parameters of the MIP model are collected from a simulation model. An index measuring the storage location convenience is proposed and we regress this index with important variables to build an empirical model that provides recommendations on where to allocate containers to storage locations. The advantage of using the empirical approach is that it allows for fast computation which is expected in the dynamic and uncertain port environment. Numerical results show that four variables can significantly affect the performance of the allocation decision. This strategy is shown to be robust for different scenarios in terms of terminal configuration and container workload. In addition, the new strategy performs better than the commonly used strategies found in warehousing literatures, and the solution is close to the optimal allocation decision.</t>
  </si>
  <si>
    <t>10.1287/trsc.2017.0736</t>
  </si>
  <si>
    <t>Information-Based Allocation Strategy for GRID-Based Transshipment Automated Container Terminal</t>
  </si>
  <si>
    <t>REF_673</t>
  </si>
  <si>
    <t>A container terminal functioning depends on the interaction of numerous subsystems which, in turn, are related to other systems. Indeed the performances of the container terminal are affected by many factors such as component subsystems of the whole system, equipment, resources and procedure. To represent the relation between those factors, a System Dynamics approach is used. The approach will show the effect of any changes of those factors to performance, to the whole performance and to the performance of the specific factor. The goal of this paper is to model, through a system dynamics approach, terminal container operations and to provide (propose) a new scenario, based on the reassignment of the resources. This study aims to provide a simulation tool which able to control performances of each subsystems and of whole system and to predict the effect of performance improvement of sub systems on whole system. The choice of utilizing the SD paradigm derives from the fact that for complex systems, such as the terminal container one, it is very difficult to collect real data regarding its functioning and and it is possible show the effect of any changes of those factors to performance, to the whole performance and to the performance of the specific factor.</t>
  </si>
  <si>
    <t>10.3233/978-1-61499-434-3-75</t>
  </si>
  <si>
    <t>NEW TRENDS IN SOFTWARE METHODOLOGIES, TOOLS AND TECHNIQUES</t>
  </si>
  <si>
    <t>The interaction of subsystems operating in a container terminal: modeling peculiarities and simulation solutions for the logistics chain optimization</t>
  </si>
  <si>
    <t>REF_672</t>
  </si>
  <si>
    <t>Purpose - The paper undertakes a bibliometric analysis and assessment of journal publications in the field of container terminal operations research (CTOR), in an attempt to identify high-impact papers (HIPs) published in Science Citation Index/Social Science Citation Index (SCI/SSCI) journals ofCTORsubject category from 1973 to 2020. Design/methodology/approach - Astructured approach for identifying the HIPs is developed based on the utilization of bibliometric and network analyses. Findings - The CTOR papers are assessed in terms of publication outputs, distribution of outputs in SCI/SSCI journals, authorship, institutions and countries, as well as citation life cycles of papers with the highest total citations since their publication until the year 2020. The results show that between 1989 and 2015, there were 82 HIPs in the field of CTOR, which have been cited at least 200 times, with more than 50% of these citations allocated in the second part of paper citation life cycle according to the database of Google Scholar. Practical implications - The practical implication of the aforementioned reviewing and assessing journal publications of CTOR is that it offers the ability to reveal the tone of its development through addressing main characteristics of the relevant HIPs as determined by the highly cited papers in this field of research. Originality/value - This paper offers a unique analysis and assessment in the field of CTOR by identifying the relevant HIPs and their associated scientific actors (authors, institutions and countries), thus facilitating the future research effort in the field of CTOR.</t>
  </si>
  <si>
    <t>10.1108/MABR-07-2022-0035</t>
  </si>
  <si>
    <t>MARITIME BUSINESS REVIEW</t>
  </si>
  <si>
    <t>A bibliometric analysis and assessment of container terminal operations research</t>
  </si>
  <si>
    <t>REF_671</t>
  </si>
  <si>
    <t>A simulation model aimed at representing container handling and internal transfer operations in a pure transshipment container terminal is presented. The main object of the simulator is to support decision making when assigning human-operated straddle carriers (SCs) to quay cranes involved in discharge/loading operations. The path between any couple of origin and destination points is mainly determined by real-time driver choices, therefore decisions must account for vehicle traffic, waiting phenomena and disruptions experienced by the SCs. So, the proposed simulator embodies a multi-step decision process that mirrors the en-route behavior implemented by the SC drivers as a response to the information they receive during their trip. An event-based view, under stochastic conditions, is adopted to reproduce the point-to-point transfer process for SCs along the internal reticular paths within the Manhattan-like layout of the storage blocks in the yard. The usage of the simulator is illustrated through numerical experiments based on real-life data.</t>
  </si>
  <si>
    <t>2017 4TH INTERNATIONAL CONFERENCE ON CONTROL, DECISION AND INFORMATION TECHNOLOGIES (CODIT)</t>
  </si>
  <si>
    <t>Supporting Human-operated Vehicle Dispatching in a Maritime Container Terminal by Simulation</t>
  </si>
  <si>
    <t>REF_670</t>
  </si>
  <si>
    <t>Potentially powerful pipe flow models of container terminal logistics processes have been neglected to date. Despite phenomenal recent growth in container traffic in Egypt, modelling of terminals handling this traffic has remained rare. A case application in Alexandria, Egypt, collated empirical container and information flows using interviews and company records to develop a dynamic operational perspective. Using these data, operational-level model simulation of the entire logistical processes of both import and export flows was undertaken. Following successful validation of a base simulation model, scenario testing has empowered the case company to proactively design and test the impact of operational changes on the entire logistics process.</t>
  </si>
  <si>
    <t>10.1080/13675567.2014.986443</t>
  </si>
  <si>
    <t>INTERNATIONAL JOURNAL OF LOGISTICS-RESEARCH AND APPLICATIONS</t>
  </si>
  <si>
    <t>Pipe flow modelling of container terminal logistics processes: a case study in Alexandria</t>
  </si>
  <si>
    <t>REF_669</t>
  </si>
  <si>
    <t>The configuration of the equipment is essential when designing a container terminal. The quay crane (QC) is one of the most important equipment in the container terminal because it decides the capacity of the quayside operation and berth service. A macroscopic simulation model of the quayside operation and berth service in the container terminal is proposed in this study. An integrated berth allocation and QC scheduling strategy is utilised in the simulation. The long-term simulation experiments considering the annual seasonal variation are conducted. And an appropriate configuration of the QCs is selected according to the analysis for key indicators of berth service and quayside operation. The comprehensive analysis indicates the selected configuration is great when the throughput is 2.5 million TEUs and it also can meet the quayside operation when the throughput increases by 20%.</t>
  </si>
  <si>
    <t>10.1080/17477778.2022.2128912</t>
  </si>
  <si>
    <t>JOURNAL OF SIMULATION</t>
  </si>
  <si>
    <t>A simulation study on the configuration of quay cranes in container terminal</t>
  </si>
  <si>
    <t>REF_668</t>
  </si>
  <si>
    <t>The container transportation and containerization for the material movement has been increasing rapidly in recent years. Under this circumstance, the adequate container terminal with high performance is required to satisfy the needs of customers such as cargo owner and shipping company. The purpose of this paper is to evaluate functional assessment of efficient container terminal and to consider for higher performance of container terminal. First, the process information of container operation is extracted through the database that is constructed by analysis of the daily work report of practical container terminal. And the formulae of skill factor of operator including a driving speed and some troubles of transfer crane is defined, and this skill factor is calculated by comparison of operation time of constructed database and defined the standard for operation time. Finally, a Petri-network model of container handling is proposed for estimation of performance of container throughput.</t>
  </si>
  <si>
    <t>MARITIME INDUSTRY, OCEAN ENGINEERING AND COASTAL RESOURCES, VOLS 1 AND 2</t>
  </si>
  <si>
    <t>Construction of container handling simulation model in container terminal by database analysis</t>
  </si>
  <si>
    <t>REF_667</t>
  </si>
  <si>
    <t>Our study generates a review of serious games in the container terminal logistics field. Serious games deliver certain knowledge to the user and improve the user's understanding of the problem. We analyse 68 games in published research papers and gaming websites and classify them based on the types of container terminal logistics problems, G/P/S (gameplay, purpose, and scope) concept, and the gaming platform. We enrich the existing classification of container terminal logistics problems by adding new fields considered by the listed games. Moreover, further analysis related to user experiences of the games is also conducted. The classification results provide insights regarding the existing studies related to gamification in the container port logistics field. It gives ideas for future developments to support the effectiveness of the learning process in the related area. Our main suggestions are increasing learning stages for game users, a list of required topics for new games, and gaming quality improvements in the existing games. Developing games with a good user interface is as important as considering the complexity of real problems in the games to allow an effective training process for the game users.</t>
  </si>
  <si>
    <t>10.1016/j.entcom.2021.100465</t>
  </si>
  <si>
    <t>Review</t>
  </si>
  <si>
    <t>ENTERTAINMENT COMPUTING</t>
  </si>
  <si>
    <t>Classifying games in container terminal logistics field: A systematic review</t>
  </si>
  <si>
    <t>REF_666</t>
  </si>
  <si>
    <t>The main objective of this research is to analyze the current situation of Beirut Container Terminal. The proposed methodology is to mimic current terminal operations using a simulation model using ARENA software in order to identify causes of queueing occurring at berth allocation. Field research was conducted and both qualitative and quantitate data were collected using interviews, on-site observations, and online vessel tracking. A base model is developed to simulate the current operations at Beirut Container Terminal. Then, three different feasible scenarios are proposed to minimize the total time spent by the vessel at the quay side. Proposed scenarios take into consideration physical and resources expansion subject to political and financial constraints. The aim of this research is to provide a tool for the decision maker at Beirut Container Terminal in formulating an investment strategy for future expansion.</t>
  </si>
  <si>
    <t>10.3940/rina.ijme.2019.a3.543</t>
  </si>
  <si>
    <t>INTERNATIONAL JOURNAL OF MARITIME ENGINEERING</t>
  </si>
  <si>
    <t>SIMULATION OF VESSEL BERTHING USING ARENA: CASE OF BEIRUT CONTAINER TERMINAL</t>
  </si>
  <si>
    <t>REF_665</t>
  </si>
  <si>
    <t>With the current growth of the maritime industry, which is a key element for many supply chains worldwide, ports seek to increase their capacity and performance in order to tackle challenges and opportunities created by the increased demand in the industry. Port expansion is an efficient way to meet this objective, but requires important resources and careful planning. Before undertaking such a major project, it is important for a port to have a firm grasp and understanding of its current capacity as well as the expansion's requirements and limitations in light of its traffic forecasts. This article presents the data analysis realized as part of an expansion project of a Canadian port case. The data analysis is executed in order to feed the first simulation model of its kind in this sector that will jointly consider the logistics operations taking place in the current port and its new terminal. This article addresses the first steps of the model's conception through data analysis as well as solutions to problems encountered. As the study is underway, the preliminary results of the work are presented.</t>
  </si>
  <si>
    <t>10.1007/978-3-030-85914-5_56</t>
  </si>
  <si>
    <t>ADVANCES IN PRODUCTION MANAGEMENT SYSTEMS: ARTIFICIAL INTELLIGENCE FOR SUSTAINABLE AND RESILIENT PRODUCTION SYSTEMS, PT V</t>
  </si>
  <si>
    <t>Toward a Simulation Model for Capacity Analysis of a New Port Terminal</t>
  </si>
  <si>
    <t>REF_664</t>
  </si>
  <si>
    <t>The paper presents a risk-based model to coordinate the preventive-predictive maintenance process of gantry cranes in a container terminal with vessels high demand. The model coordinates the preventive-predictive maintenance process minimizing the risk of Gantry Cranes Inefficiency (GCI). The risk is estimated with a sequential Markov Chain Monte Carlo (MCMC) simulation model. In this paper, the Preventive-Predictive Maintenance Scheduling (PPMS) process of gantry cranes is non-linear stochastic optimization problem and it is efficiently solved with the algorithms Particle Swarm Optimization (PSO). The model allows the terminal container operators to obtain a maintenance schedule that minimizes the risk of GCI, as much as possible in a container terminal; as well as establishing the desired level of risk The paper demonstrates the proposed model effectiveness with data of a real container terminal.</t>
  </si>
  <si>
    <t>10.1109/mmar.2019.8864636</t>
  </si>
  <si>
    <t>2019 24TH INTERNATIONAL CONFERENCE ON METHODS AND MODELS IN AUTOMATION AND ROBOTICS (MMAR)</t>
  </si>
  <si>
    <t>Integrated Maintenance Decision Making Platform for Gantry Cranes in Container Terminal</t>
  </si>
  <si>
    <t>REF_663</t>
  </si>
  <si>
    <t>In this paper, we claim that the operation schedule of automated stacking cranes (ASC) in the storage yard of automated container terminals can be built effectively and efficiently by using a crane dispatching policy, and propose a noisy optimization algorithm named N-RTS that can derive such a policy efficiently. To select a job for an ASC, our dispatching policy uses a multi-criteria scoring function to calculate the score of each candidate job using a weighted summation of the evaluations in those criteria. As the calculated score depends on the respective weights of these criteria, and thus a different weight vector gives rise to a different best candidate, a weight vector can be deemed as a policy. A good weight vector, or policy, can be found by a simulation-based search where a candidate policy is evaluated through a computationally expensive simulation of applying the policy to some operation scenarios. We may simplify the simulation to save time but at the cost of sacrificing the evaluation accuracy. N-RTS copes with this dilemma by maintaining a good balance between exploration and exploitation. Experimental results show that the policy derived by N-RTS outperforms other ASC scheduling methods. We also conducted additional experiments using some benchmark functions to validate the performance of N-RTS.</t>
  </si>
  <si>
    <t>10.3390/app11156922</t>
  </si>
  <si>
    <t>APPLIED SCIENCES-BASEL</t>
  </si>
  <si>
    <t>Noisy Optimization of Dispatching Policy for the Cranes at the Storage Yard in an Automated Container Terminal</t>
  </si>
  <si>
    <t>REF_662</t>
  </si>
  <si>
    <t>This paper presents a decision making approach based on Data Envelopment Analysis (DEA) for determining an efficient container handling strategy at an automated port container terminal. Containers are unloaded from the ship by quay cranes and transported to the storage area by Automated Guided Vehicles (AGVs). The objective of this paper is to show how dispatching rules and a number of employed AGVs affect measures of effectiveness of container handling process and to compare their efficiencies using DEA. It was shown that simulation modeling and efficiency evaluation of AGV fleet operations can be useful for the planning purpose. (C) 2011 Published by Elsevier Ltd. Selection and/or peer-review under responsibility of the Organizing Committee.</t>
  </si>
  <si>
    <t>10.1016/j.sbspro.2011.08.090</t>
  </si>
  <si>
    <t>STATE OF THE ART IN THE EUROPEAN QUANTITATIVE ORIENTED TRANSPORTATION AND LOGISTICS RESEARCH, 2011: 14TH EURO WORKING GROUP ON TRANSPORTATION &amp; 26TH MINI EURO CONFERENCE &amp; 1ST EUROPEAN SCIENTIFIC CONFERENCE ON AIR TRANSPORT</t>
  </si>
  <si>
    <t>Application of DEA to the analysis of AGV fleet operations in a port container terminal</t>
  </si>
  <si>
    <t>REF_661</t>
  </si>
  <si>
    <t>Each container terminal has attempted to improve its performance through effective strategic and tactical management. Therefore, performance measurement is needed due to the long waiting time of the service process within container terminal operations. We have utilized the system dynamics methodology to assess container terminal performance. Container port enterprises have been influenced by governance, environmental and social components, therefore, the management of those components has significant impacts on the service port's performance. Therefore, the objective of the research is to model the dynamic performance of the container terminal with consideration of environmental, social, and governance components. Furthermore, this dynamic model has presented practical value for increasing the performance of the container terminal operation under capacity constraints. The case study focused on the Indonesia Port Corporation of Jakarta, Indonesia. As a result, the research has identified the influence of container terminal decision variables, such as emissions, employee satisfaction, and good corporate governance, on container terminals, implying their significance in reducing berthing time as the main indicator of container terminal performance. The novelty of this research is to provide a system dynamic model which combines tactical and strategic levels for container terminal operation. (c) 2024 Jordan Journal of Mechanical and Industrial Engineering. All rights reserved</t>
  </si>
  <si>
    <t>10.59038/jjmie/180105</t>
  </si>
  <si>
    <t>JORDAN JOURNAL OF MECHANICAL AND INDUSTRIAL ENGINEERING</t>
  </si>
  <si>
    <t>Container Terminal Performance: System Dynamic Approach with Port Capacity Constraints and ESG Integration</t>
  </si>
  <si>
    <t>REF_660</t>
  </si>
  <si>
    <t>In the last four decades the container as an essential part of a unit-load-concept has achieved undoubted importance in international sea freight transportation. With ever increasing containerization the number of seaport container terminals and competition among them have become quite remarkable. Operations are nowadays unthinkable without effective and efficient use of information technology as well as appropriate optimization (operations research) methods. In this paper we describe and classify the main logistics processes and operations in container terminals and present a survey of methods for their optimization.</t>
  </si>
  <si>
    <t>10.1007/s00291-003-0157-z</t>
  </si>
  <si>
    <t>OR SPECTRUM</t>
  </si>
  <si>
    <t>Container terminal operation and operations research - a classification and literature review</t>
  </si>
  <si>
    <t>REF_659</t>
  </si>
  <si>
    <t>The logistics system of container terminals involves many transport resources and processes, and simulation models can help decision makers optimize management systems and improve decision-making. To improve the productivity of container terminals, the shortcomings of scale optimization and static design of the traditional container terminal logistics system are improved. The study constructs a simulation model of a logistics system based on multi-scale information theory and introduces a queuing network to analyze the internal logic characteristics of different parts of the system. Meanwhile, an improved bat algorithm is introduced to design the dynamic scheduling scheme for the berth scheduling problem in the container terminal logistics system. The simulation results showed that the improved algorithm tended to be stable when the number of iterations reached 160 times. The allocation under the improved berth scheduling system showed good uniformity in time and space, and the cost of unit deviation was less than 3,000 RMB. The container terminal logistics system designed in this study can improve logistics efficiency, reduce transportation costs, and meet the transportation needs of loading and unloading ships and vehicles.</t>
  </si>
  <si>
    <t>10.23055/ijietap.2025.32.5.10737</t>
  </si>
  <si>
    <t>INTERNATIONAL JOURNAL OF INDUSTRIAL ENGINEERING-THEORY APPLICATIONS AND PRACTICE</t>
  </si>
  <si>
    <t>SIMULATION MODEL OF CONTAINER TERMINAL LOGISTICS SYSTEM BASED ON MULTI-SCALE INFORMATION THEORY</t>
  </si>
  <si>
    <t>REF_658</t>
  </si>
  <si>
    <t>Increasing global trade has created the need for efficient container ports. The goal of the port is to move containers as quickly as possible and at the least possible cost. Goods that are delayed at the port are inevitably tardy when delivered to the customer, and thus sanctioned by late charges. Two key activities in the port are (i) unloading of containers from truck and then storage in the export area, and (ii) removal of containers from import storage and then loading onto the trucks. Since containers are large and heavy, specialized material handling vehicles are required for transporting them within the terminal. The focus of this paper is on port terminals where straddle carriers are primarily used to move containers. Container terminals typically have well developed computer and communication networks. Through these networks a terminal scheduler will control and schedule the movement of the straddle carrier fleet in real time. The objective of the terminal scheduler is to minimize the empty travel of straddle carriers, while at the same time minimizing any delays in servicing customers. This paper presents a straddle scheduling procedure that can be used by a terminal scheduler to control the movement of straddle carriers. At its core, the procedure is driven by an assignment algorithm that dynamically matches straddle carriers and trucks, as each becomes available. The procedures were developed and tested in collaboration with the largest container terminal operator in the Port of New York and New Jersey. Using a simulation model of the real system, the superiority of the proposed procedure over two alternative scheduling strategies is illustrated.</t>
  </si>
  <si>
    <t>10.1080/09537280310001626278</t>
  </si>
  <si>
    <t>PRODUCTION PLANNING &amp; CONTROL</t>
  </si>
  <si>
    <t>Scheduling material handling vehicles in a container terminal</t>
  </si>
  <si>
    <t>REF_657</t>
  </si>
  <si>
    <t>Container terminals are required to have enough berths and container yards as well as various equipments and facilities, but in reality there is much difference in their resources owing to the circumstances of each terminal. This study introduces a simulation model for evaluating various operation rules for improving the performance of berth &amp; yard operatiorrs. This model can reflects the characteristics of each port system considering design factors of container terminal with the related circumstances of each terminal. The proposed model provides a good tool to analyze the current container terminal operations and can calculates the performance of new type container terminals scheduled to be built in Korea.</t>
  </si>
  <si>
    <t>PROCEEDINGS OF THE SIXTH INTERNATIONAL CONFERENCE ON INFORMATION AND MANAGEMENT SCIENCES</t>
  </si>
  <si>
    <t>A study on an evaluation model for solving container terminal performance problem by simulation method</t>
  </si>
  <si>
    <t>REF_656</t>
  </si>
  <si>
    <t>The paper presents an Integrated Maintenance Decision Making Model (IDMM) concept for cranes under operation especially into the container type terminals The target is to improve cranes operational efficiency through minimizing the risk of the Gantry Cranes Inefficiency (GCI) results based on implementation the Digital Twins concept. The proposed model makes a joint transportation process and crane maintenance scheduling, relevant to assure more robust performances in stochastic environments, as well as to assess and optimize performances at different levels, from components and transport device to production systems (container terminal) The crane operation risk is estimated with a sequential Monte Carlo Markov Chain (MCMC) simulation model and the optimization model behind of IDMM is supported through the Particle Swarm Optimization (PSO) algorithms. The developed model allows the terminal container operators to obtain a maintenance schedule that minimizes the GCI, as well as establishing the desired level of risk. The paper demonstrates the effectiveness of the proposed maintenance decision making concept model for cranes under operation with use the data coming from of a real container terminal (case study). (C) 2019, IFAC (International Federation of Automatic Control) Hosting by Elsevier Ltd. All rights reserved.</t>
  </si>
  <si>
    <t>10.1016/j.ifacol.2019.10.014</t>
  </si>
  <si>
    <t>IFAC PAPERSONLINE</t>
  </si>
  <si>
    <t>Digital Twins Model for Cranes Operating in Container Terminal</t>
  </si>
  <si>
    <t>REF_655</t>
  </si>
  <si>
    <t>A method for development a decision making system that uses simulation models is presented in the paper. It combines a development and integration of the simulation models into an enterprise information system. An integrating layer for integration of the simulation models is developed using web service technologies. Piece-linear aggregates formalism is applied for creation of the simulation models of business processes. An illustrative example of a decision making system for evaluation of tanker loading schedules is presented.</t>
  </si>
  <si>
    <t>Transport Means 2006, Proceedings</t>
  </si>
  <si>
    <t>Incorporating terminal simulation model into the oil terminal management system</t>
  </si>
  <si>
    <t>REF_654</t>
  </si>
  <si>
    <t>Logistic chain with containerized transport which includes a maritime component must transit through container maritime terminals. In case of dangerous goods special operating conditions are required (e.g. specialized staff, special vehicles, dedicated storage areas, segregation rules, etc.). Stochastics vessels arrival process in the container terminal and the variable number of dangerous goods containers make proper dimensioning of the storage area in the terminal difficult. In this paper, using ARENA simulation software, are develops a simulation model in order to analyse the activities in a container terminal and to assess the operating parameters of terminal facilities. The operation capacity for different port logistics sub-system is assessed taking into consideration the required operating standards and the measures of performance of the logistic system. The obtained results allow proper evaluation of the processing capacity of container terminals which can be used in sustaining studies to develop new ways to process container terminals.</t>
  </si>
  <si>
    <t>MARITIME TECHNOLOGY AND ENGINEERING 3, VOLS 1-2</t>
  </si>
  <si>
    <t>Capacity analysis of storage area in a maritime container terminal</t>
  </si>
  <si>
    <t>REF_653</t>
  </si>
  <si>
    <t>To implement the analysis and resource allocation optimization of the railway container terminal logistics system, according to the operation processes of the terminal logistics system, a Simio simulation model of the railway container terminal logistics system was established by using the Simio system dynamic simulation technology combined with the resource allocation optimization computational method. The simulation experiment was conducted to analyze the influence of the system performance by varying the arrival time interval of container trains, the proportion of container types, the quantities of gantry cranes, inner trucks and front cranes. And it also can be concluded that the total cost and the overall operation condition achieve the best when 3 gantry cranes, 5 inner trucks and 2 front cranes are allocated for the current system.</t>
  </si>
  <si>
    <t>2016 INTERNATIONAL CONFERENCE ON MECHANICAL ENGINEERING AND CONTROL AUTOMATION (ICMECA 2016)</t>
  </si>
  <si>
    <t>Research of Railway Container Terminal Logistics System Modeling and Simulation</t>
  </si>
  <si>
    <t>REF_652</t>
  </si>
  <si>
    <t>At container terminals, containers are transshipped from one mode of transportation to another. Within a terminal different types of material handling equipment are used to transship containers from ships to barges, trucks and trains and vice versa. Over the past decades, ships have strongly increased in size, up to 8000 TEU (Twenty feet equivalent unit container). In order to use these big ships efficiently, the docking time at the port must be as small as possible. This means that large amounts of containers have to be loaded, unloaded and transshipped in a short time span, with a minimum use of expensive equipment. This paper gives a classification of the decision problems that arise at container terminals. For various decision problems, an overview of relevant literature is presented. Quantitative models from this literature, which try to solve the problems are discussed. Finally, some general conclusions and subjects for further research are given. (C) 2002 Elsevier Science B.V. All rights reserved.</t>
  </si>
  <si>
    <t>10.1016/S0377-2217(02)00293-X</t>
  </si>
  <si>
    <t>Transshipment of containers at a container terminal: An overview</t>
  </si>
  <si>
    <t>REF_651</t>
  </si>
  <si>
    <t>In this paper, we consider the problem of truck configuration in a container terminal. A model is built using the Witness simulation software to simulate the process of a ship's handling and transportation. It is based on the reality of a large container terminal in China. The transportation network for container truck is reproduced in the model from the quay side to the container yard. Input data include the parameters in a generic format such as lengths of paths, quantity and speed of vehicles, the operation mode. Therefore, the model is adjustable to many situations. The paper analyzes the output results through running the model, and examines whether the quantity and the speed of the container trucks have influenced the handling time and how much it is. The study indicates that the quantity should be configured dynamically according to different stages of handling, and that raising the speed of the trucks would not necessarily improve the handling efficiency. The object-oriented method proves quite effective in developing the simulation model, resulting in a reliable and adjustable model.</t>
  </si>
  <si>
    <t>WCICA 2006: SIXTH WORLD CONGRESS ON INTELLIGENT CONTROL AND AUTOMATION, VOLS 1-12, CONFERENCE PROCEEDINGS</t>
  </si>
  <si>
    <t>Simulation studies of truck configuration in a container terminal</t>
  </si>
  <si>
    <t>REF_650</t>
  </si>
  <si>
    <t>The efficient operation of container terminals facilitates the seamless flow of goods across borders. New technologies such as big data, data mining, and simulation models, have emerged in the maritime industry, enabling optimization and performance evaluation. This study investigated how data science using operational data improve container terminal operations, drive efficiency, enhance throughput, and bolster competitiveness in shipping sector. Decision-making within container terminals, particularly in determining optimal container stacking locations, poses a significant challenge owing to the multitude of factors at play. By analyzing datasets, new strategies and policies can be simulated to minimize container rehandling operations. This study focuses on the Hakata International Container Terminal in Japan, where daily operational data from rubber-tired gantry equipment are used to investigate container movements. A significant reduction in the total number movements required to perform container-handling operations was demonstrated by implementing data-driven strategies and simulation modeling.</t>
  </si>
  <si>
    <t>10.1016/j.eastsj.2024.100127</t>
  </si>
  <si>
    <t>ASIAN TRANSPORT STUDIES</t>
  </si>
  <si>
    <t>Operational performance evaluation of a container terminal using data mining and simulation</t>
  </si>
  <si>
    <t>REF_649</t>
  </si>
  <si>
    <t>Twin overhead shuttle cranes (OSs) transport containers in a rail-based automated container terminal (RACT). Terminal operators separate a job into a main job and an auxiliary job based on a temporary storage location. Since the temporary storage location determines the frequency of the job separations and the workload of each OS, they use simulation-based decision-making to investigate the impact of the interference between the twin OSs. It is time-intensive to optimize an objective function with manually designed experiments, so this study proposes a sequential optimization approach, Bayesian optimization (BO), to determine the optimal temporary storage location within a limited simulation run. The BO adaptively draws the surrogate model of simulation outcomes and actively suggests the most promising solution comparing the current optimal solution. An experiment demonstrates that the BO predicts the outcomes of a RACT simulation and ensures a near-optimal solution within a limited simulation run.</t>
  </si>
  <si>
    <t>10.1007/978-3-031-16407-1_34</t>
  </si>
  <si>
    <t>ADVANCES IN PRODUCTION MANAGEMENT SYSTEMS: SMART MANUFACTURING AND LOGISTICS SYSTEMS: TURNING IDEAS INTO ACTION, APMS 2022, PT I</t>
  </si>
  <si>
    <t>Sequential Optimization of a Temporary Storage Location for Cooperative Twin Overhead Shuttles in a Rail-Based Automated Container Terminal</t>
  </si>
  <si>
    <t>REF_648</t>
  </si>
  <si>
    <t>Mega vessels currently play a vital role in maritime transportation and their deployment may have significant impacts on container terminal operations. This study is concerned with the impact analysis of mega vessels on container terminal operations. First, the container operation process at a container terminal is formulated as a queuing network. Based on the queuing network, a simulation model is then developed. Because of the computational complexity of the simulation, the ARENA (c) software tool is used to solve the developed model, based on a realistic case involving the Hong Kong port. The case analysis comprises ten scenarios that represent current and possible future situations regarding the utilization of more mega container vessels. The results suggest that the current port facilities may not be sufficient to accommodate more mega container vessels. (C) 2017 The Authors. Published by Elsevier B.V.</t>
  </si>
  <si>
    <t>10.1016/j.trpro.2017.05.389</t>
  </si>
  <si>
    <t>WORLD CONFERENCE ON TRANSPORT RESEARCH - WCTR 2016</t>
  </si>
  <si>
    <t>Impact Analysis of Mega Vessels on Container Terminal Operations</t>
  </si>
  <si>
    <t>REF_647</t>
  </si>
  <si>
    <t>The port transport facilities are always the bottleneck in a Container terminal logistics system. A simulation model of the system based on Witness is developed. The opportunity of purchasing new crane and updating IC toll-gate is studied, when the throughput and stochastic distributing rule is fixed. The improve scheme and evaluating indicator is put forward. Four simulation situations are designed to analyze the effect of the improvement program. The principle of container terminal logistics management decision-making is then provided.</t>
  </si>
  <si>
    <t>2008 4TH INTERNATIONAL CONFERENCE ON WIRELESS COMMUNICATIONS, NETWORKING AND MOBILE COMPUTING, VOLS 1-31</t>
  </si>
  <si>
    <t>Management Decision on the Container Terminal Logistics Based on Witness Simulation</t>
  </si>
  <si>
    <t>REF_646</t>
  </si>
  <si>
    <t>This paper studies the berth operation, in particular, the quay side traffic condition in one of the busiest container port in Hong Kong. The developed simulation model effectively incorporates both the traffic model and service model, built using the AutoMod simulation tool. Sensitivity analysis was performed on different scenarios and configurations at the quay side. The results reveal that an increase in the number of internal tractors increases the productivity of the quay cranes, and the deployment of a traffic controller can improve the traffic congestions but may not help to improve the utilization of the quay cranes. Apart from the flow control of the tractors, the closure of tractor lanes under a quay crane also reduces the performance of the quay crane. The simulation studies performed provides a definitive basis for evaluating the performance of the berth and for determining the potential for the operation improvements of a port container terminal in general.</t>
  </si>
  <si>
    <t>ASIASIM 2007</t>
  </si>
  <si>
    <t>Simulation study of port container terminal quay side traffic</t>
  </si>
  <si>
    <t>REF_645</t>
  </si>
  <si>
    <t>The paper discusses development, verification and validation of a simulation model of logistics processes at the Baltic Container Terminal (BCT) that operates at the Riga Freeport. The simulation model considers operation of the terminal at three different levels, related to: 1) container transportation between BCT and its partner ports (i.e., movements of ships), (2) processing vessels at the terminal quay, and (3) processing containers at the terminal. This allows control of terminal resources at 3 different levels, i.e., the port level, the quay level, and the level of terminal technical resources. Further detailing of the 3(rd) level consideration allows separate modelling of each technological operation thus enabling the full control of each individual resource unit.</t>
  </si>
  <si>
    <t>MODELLING AND SIMULATION OF BUSINESS SYSTEMS</t>
  </si>
  <si>
    <t>Multi-level simulation of logistics processes at the Baltic container terminal: Calibration study</t>
  </si>
  <si>
    <t>REF_644</t>
  </si>
  <si>
    <t>Since the 1980s, the demand for Hong Kong's container handling facilities has been increasing due to the robust economic growth in South China. As more and more vessels call on Hong Kong's container terminals, the vessels moving in the basin surrounded by the container terminals will have a bigger chance of interfering with one another, due to the need to comply with navigation safety requirements. The interference often necessitates the vessels to stop occasionally while moving along their navigation paths in order to avoid potential collisions. This paper develops a simulation model for studying the impact of the vessel-traffic interference in Hong Kong's terminal basin on its container terminals' capacities. Major navigation safety requirements and terminal operational characteristics are considered in the model. The model's simulation results show that the delays due to the vessel-traffic interference lead to a considerable reduction in Hong Kong container terminals' capacities. This model can assist the container terminals in estimating the benefits of coordinating vessel movements in the terminal basin.</t>
  </si>
  <si>
    <t>10.1061/(ASCE)0733-950X(2006)132:2(76)</t>
  </si>
  <si>
    <t>JOURNAL OF WATERWAY PORT COASTAL AND OCEAN ENGINEERING</t>
  </si>
  <si>
    <t>Evaluating the impact of vessel-traffic interference on container terminal capacity</t>
  </si>
  <si>
    <t>REF_643</t>
  </si>
  <si>
    <t>A long queue of vehicles at the gate of a marine terminal is a common traffic phenomenon in a port-city, which sometimes causes problems in urban traffic. In order to be able to solve this issue, we firstly need accurate models to estimate such a vehicle queue length. In this paper, we compare the existing methods in a case study, and evaluate their advantages and disadvantages. Particularly, we develop a simulation-based regression model, using the micro traffic simulation software PARAMIC. In simulation, it is found that the queue transient process follows a natural logarithm curve. Then, based on these curves, we develop a queue length estimation model. In the numerical experiment, the proposed model exhibits better estimation accuracy than the other existing methods.</t>
  </si>
  <si>
    <t>10.2478/amcs-2014-0044</t>
  </si>
  <si>
    <t>INTERNATIONAL JOURNAL OF APPLIED MATHEMATICS AND COMPUTER SCIENCE</t>
  </si>
  <si>
    <t>METHODS FOR ESTIMATING VEHICLE QUEUES AT A MARINE TERMINAL: A COMPUTATIONAL COMPARISON</t>
  </si>
  <si>
    <t>REF_642</t>
  </si>
  <si>
    <t>In this paper, it is analyzed how to aggregate the operations carried out in a container terminal for the construction of simulation models. Also, the productivity or efficiency indexes commonly used in terminal management are related to every abstraction level, so the user will select the appropriated simulation model based on the indexes he want to obtain. Furthermore, the models must give coherent results, so some parameters of a more abstracted (or aggregated) model can be obtained from a more detailed on using simulation. In the opposite direction, if it is known an aggregated parameter, some dependent parameters of a More detailed model can be obtained by means of a search procedure that will find the best solution for this set of parameters. As a result of this analysis, a hierarchical multilevel model is proposed for the simulation of port container terminals.</t>
  </si>
  <si>
    <t>13TH INTERNATIONAL CONFERENCE ON HARBOR MARITIME MULTIMODAL LOGISTICS MODELING &amp; SIMULATION</t>
  </si>
  <si>
    <t>MULTILEVEL APPROACH MODELLING FOR PORT CONTAINER TERMINAL SIMULATION</t>
  </si>
  <si>
    <t>REF_641</t>
  </si>
  <si>
    <t>Multimodal transport system on container terminal is a complex stochastic system, so it is difficult to solve accurately by mathematical model. This paper presents a simulation-based optimization method for scheduling optimization of container terminal. First, from the aspect of whole operation process, based on Hybrid Flow Shop Scheduling problem a mathematical model is developed to optimize the operation sequence of quay cranes, yard trailers and yard cranes simultaneously. Second, a simulation optimization method of combining with the GA and simulation for operation scheduling in container terminals is proposed. Finally, case studies show that this method is applicable and effective to the problem of coordinating job sequence optimization.</t>
  </si>
  <si>
    <t>ADVANCES IN COMPUTER SCIENCE, INTELLIGENT SYSTEM AND ENVIRONMENT, VOL 1</t>
  </si>
  <si>
    <t>The Research of Simulation and Optimization of Multimodal Transport System Based on Intelligent Materials on Container Terminal Job Scheduling</t>
  </si>
  <si>
    <t>REF_640</t>
  </si>
  <si>
    <t>Because a large number of vehicles use the same infrastructural facilities, the control of automated guided vehicle (AGV) traffic at a container terminal is crucial to the system performance. A new modelling technique which has been used to successfully model the relevant aspects of traffic control is presented in this paper. The control can be imposed by using a hierarchical system of so called semaphores, thus it is possible to follow a structural approach in the design of a traffic control configuration. The technique has been used to model an elementary terminal configuration and tested in a simulation model.</t>
  </si>
  <si>
    <t>10.1016/0965-8564(95)00011-9</t>
  </si>
  <si>
    <t>TRANSPORTATION RESEARCH PART A-POLICY AND PRACTICE</t>
  </si>
  <si>
    <t>Automated guided vehicle traffic control at a container terminal</t>
  </si>
  <si>
    <t>REF_639</t>
  </si>
  <si>
    <t>MODELLING AND SIMULATION, ESM 94</t>
  </si>
  <si>
    <t>A SIMULATION MODEL OF A SAILING CONTAINER TERMINAL SERVICE IN THE PORT OF ROTTERDAM</t>
  </si>
  <si>
    <t>REF_638</t>
  </si>
  <si>
    <t>With the rapid development of global trade, ports and terminals are playing an increasingly important role, and automatic guided vehicles (AGVs) have been used as the main carriers performing the loading/unloading operations in automated container terminals. In this paper, we investigate a multi-AGV dynamic scheduling problem to improve the terminal operational efficiency, considering the sophisticated complexity and uncertainty involved in the port terminal operation. We propose to model the dynamic scheduling of AGVs as a Markov decision process (MDP) with mixed decision rules. Then, we develop a novel adaptive learning algorithm based on a deep Q-network (DQN) to generate the optimal policy. The proposed algorithm is trained based on data obtained from interactions with a simulation environment that reflects the real-world operation of an automated in Shanghai, China. The simulation studies show that, compared with conventional scheduling methods using a heuristic algorithm, i.e., genetic algorithm (GA) and rule-based scheduling, terminal the proposed approach performs better in terms of effectiveness and efficiency.</t>
  </si>
  <si>
    <t>10.3390/math10234575</t>
  </si>
  <si>
    <t>MATHEMATICS</t>
  </si>
  <si>
    <t>Multi-AGV Dynamic Scheduling in an Automated Container Terminal: A Deep Reinforcement Learning Approach</t>
  </si>
  <si>
    <t>REF_637</t>
  </si>
  <si>
    <t>A container terminal is a facility where containers are transshipped from one mode of transport to another. Congestion problem leads to the decreasing of the customer's level of satisfaction. This study presents the application of simulation technique with the main objective of this study is to develop the current model and evaluate the performance of the container terminal. The suitable performance measure used in this study to evaluate the container terminal model are the average waiting time in queue, average of process time at berth, number of vessels enter the berth and resource utilization. Simulation technique was found to be a suitable technique to conduct in this study. The results from the simulation model had proved to solve the problem occurred in the container terminal.</t>
  </si>
  <si>
    <t>10.1063/1.4926640</t>
  </si>
  <si>
    <t>INTERNATIONAL CONFERENCE ON MATHEMATICS, ENGINEERING AND INDUSTRIAL APPLICATIONS 2014 (ICOMEIA 2014)</t>
  </si>
  <si>
    <t>Evaluating Performance of Container Terminal Operation Using Simulation</t>
  </si>
  <si>
    <t>REF_636</t>
  </si>
  <si>
    <t>Automated Container Terminal (ACT) is a significant part of modern international logistics. Automated Guided Vehicles (AGV) are expected to be widely applied in ACT. We summarize the existing work on AGV dispatching and notice that AGV dispatching is commonly based on static distance. However, the estimation of congestion time is often neglected. In this paper, we build a simulation model of AGV transportation system on the basis of AnyLogic software. We propose a dynamic time estimation based AGV dispatching algorithm, and utilize the simulation model to evaluate the performance of the algorithm. Compared with static algorithms, the dynamic time estimation based AGV dispatching algorithm is able to decrease the start-stop ftequency and reduce the congestion of road network. Simulation results prove that the dynamic time estimation based AGV dispatching algorithm can effectively enhance the utilization rate of QCs and YCs, and shorten the task finishing time.</t>
  </si>
  <si>
    <t>2018 37TH CHINESE CONTROL CONFERENCE (CCC)</t>
  </si>
  <si>
    <t>Dynamic Time Estimation Based AGV Dispatching Algorithm in Automated Container Terminal</t>
  </si>
  <si>
    <t>REF_635</t>
  </si>
  <si>
    <t>The paper proposes a simulation model used to analyze and testing several operative and security scenarios in a container terminal. In particular all the main state variables describing system behavior has been completely parameterized so the user, by means of a general graphic interface, is able to generate different operative conditions regarding all the port main activities. The user actions are opportunely reflected in the performance indexes output section giving the possibility to analyze system behavior thanks to graphic and statistical tools.</t>
  </si>
  <si>
    <t>20TH EUROPEAN CONFERENCE ON MODELLING AND SIMULATION ECMS 2006: MODELLING METHODOLOGIES AND SIMULATION: KEY TECHNOLOGIES IN ACADEMIA AND INDUSTRY</t>
  </si>
  <si>
    <t>Container terminal scenarios analysis and awareness trough modeling &amp; simulation</t>
  </si>
  <si>
    <t>REF_634</t>
  </si>
  <si>
    <t>In this paper, a study was conducted inquiring into the development of a simulator, which can be used as training material for the internal process of container terminal among various areas of habor distribution. For developing a simulator, a language called Powersim was used It is a useful tool for causationally modelling the composition of a system. The advantage of designing the model of a container terminal by using the tool is that learners can causationally understand the internal process of the container terminal. On the other hand, the interface of the simulator has been designed as a form of digital dashboard, which faciliates the input and output of the senario (Value of environmental variables) so the learners can analyze the course of changes incurring during processing the traffic volume within the terminal depending on various technologies and how they are applied in the terminal. In the following studies, we are planning to develop a more dynamic training tool for operating container terminal by complementing the ommitted part of the simulation model developed up to the present and by concretly designing the parts that have been presented abstractly.</t>
  </si>
  <si>
    <t>PROCEEDINGS OF THE 8TH WSEAS INTERNATIONAL CONFERENCE ON APPLIED COMPUTER SCIENCE (ACS'08): RECENT ADVANCES ON APPLIED COMPUTER SCIENCE</t>
  </si>
  <si>
    <t>Development of a Container Terminal Educational Simulator</t>
  </si>
  <si>
    <t>REF_633</t>
  </si>
  <si>
    <t>The development of a container terminal from the initial idea through commissioning to operation is an integrated procedure based upon consistent detalization and development of perception concerning its functions, objectives and constraints of the implementation. Inevitable splitting of this procedure into stages performed by different sides using different methods could place the final decision rather far from the expected optimum. In order to avoid it the integrated methodological basis should be used, which could be build and developed in parallel with the main development procedure. The basis of the kind addressed in the paper is built on the integrated software and methodological platform ANYLOGIC (c) by XJ Technologies.</t>
  </si>
  <si>
    <t>SIMULATION AS AN INTEGRATED PLATTFORM FOR CONTAINER TERMINAL DEVELOPMENT LIFE-CYCLE</t>
  </si>
  <si>
    <t>REF_632</t>
  </si>
  <si>
    <t>The competitiveness among container terminals is growing due to the positive growth of containerised shipping. The ability to provide efficient services very much depend on the overall efficiency of the container terminal. However, the operation of the container terminal is complex and consists of many subsystems such as the berth and yard. Moreover, the planning and decision making of the berth and yard are usually conducted separately, not as a whole. Therefore, with the lack of integration between these two major subsystems, terminal managers fail to see the impact of the decision made at the berth to the yard and vice versa. This paper presents the application of system dynamics simulation into capturing the operation processes of the berth and yard. The system dynamics model is able to enhance the understanding on the interdependency and relationship between these two subsystems, thus assisting the terminal managers in decision making.</t>
  </si>
  <si>
    <t>10.1504/IJSTL.2010.035503</t>
  </si>
  <si>
    <t>INTERNATIONAL JOURNAL OF SHIPPING AND TRANSPORT LOGISTICS</t>
  </si>
  <si>
    <t>Understanding the complexity of container terminal operation through the development of system dynamics model</t>
  </si>
  <si>
    <t>REF_631</t>
  </si>
  <si>
    <t>In order to study the impact of container terminals in different resource allocation and scheduling device efficiency of terminal operations, using FlexTerm software to establish a terminal simulation model for the simulation of transportation operations research, through the simulation experiment under different configuration scheme for equipment utilization comparative analysis of various resources, the results will provide a reference for the study of terminal resources utilization.</t>
  </si>
  <si>
    <t>PROCEEDINGS OF THE 2015 JOINT INTERNATIONAL MECHANICAL, ELECTRONIC AND INFORMATION TECHNOLOGY CONFERENCE (JIMET 2015)</t>
  </si>
  <si>
    <t>A Method of Container Terminal Resources Scheduling Simulation Research</t>
  </si>
  <si>
    <t>REF_630</t>
  </si>
  <si>
    <t>DEVS is a hierarchical and modular system descriptive method. However, it cannot describe dynamic process and relationship between system members. This article has proposed a way to extend UML using stereotype, making it suitable for simulation modeling. To build a modeling tool, we defined atomic model class and coupled model class, both of which are in line with not only DEVS's hierarchical and modular requirements but also UML's object-oriented characteristics. At last, we use the tool to analyze and build UML models for the container berths system, making it easier to implement on simulation platform.</t>
  </si>
  <si>
    <t>UML MODELING FOR BERTH SYSTEM OF CONTAINER TERMINAL BASED ON DEVS</t>
  </si>
  <si>
    <t>REF_629</t>
  </si>
  <si>
    <t>This study is a driving analysis of the transfer data of container terminals based on simulation interactive modeling technology. In the context of a container yard, a model was established to analyze and predict the arrival time and influencing factors of container transportation through the data from the control center of the yard. The economic benefit index in the index system was determined through expert consultation, the automatic terminal can be obtained by acquiring the actual operating parameters of the terminal, and the terminal to be built can be acquired mainly through simulation modeling. Therefore, when determining the design scheme before constructing the automated container terminal, a terminal simulation model needs to be established that meets the requirements of loading and unloading operations and terminal production operations. In addition, an automated container terminal simulation model needs to be implemented to verify the feasibility of the evaluation model. The results reveal that the accuracy of the current prediction model is still limited-the highest accuracy is only 72%, whether there are continuous or discrete variables, traffic or weather variables. Moreover, the study denotes that the relationship between weather and specific time factors and the arrival time of containers is weak, even negligible. This study provides guidance and decision-making support for the construction of automated terminals.</t>
  </si>
  <si>
    <t>10.3390/math11153271</t>
  </si>
  <si>
    <t>Prediction and Analysis of Container Terminal Logistics Arrival Time Based on Simulation Interactive Modeling: A Case Study of Ningbo Port</t>
  </si>
  <si>
    <t>REF_628</t>
  </si>
  <si>
    <t>Intermodal terminals (IMTs) have significant importance in logistics networks whose development enables the implementation of intermodal transportation technologies and participation in international goods flows. Developing IMT contributes to the greater use of intermodal transportation thus contributing to sustainability. To stimulate stakeholders to participate in such projects, they need to be proven economically sustainable as well. This article analyzes the financial risks of investing into an IMT in Belgrade (Republic of Serbia). The scientific contribution of the article is in being the first to use a stochastic financial evaluation model for assessing the development of an IMT. The article analyzes the financial risk probability over real-world data, considering the stochastic nature of container flow volumes and the prices of logistics services. The risk probability, as an output result of the used simulation model, is derived from the probability distribution of three distinct financial pa-rameters - net present value (NPV), internal rate of return (IRR), and the benefit-cost ratio (B/C). The results of the analysis indicate that the development of the IMT is financially justified, with relatively low investment risk.</t>
  </si>
  <si>
    <t>10.1016/j.sftr.2022.100104</t>
  </si>
  <si>
    <t>SUSTAINABLE FUTURES</t>
  </si>
  <si>
    <t>Stochastic financial evaluation: The case of an intermodal terminal</t>
  </si>
  <si>
    <t>REF_627</t>
  </si>
  <si>
    <t>Container intermodal transportation organization need seamless cohesive joint facilities, to provide safeguard for efficient assignments in each link of the container transportation, it through the planning, design, construction and allocation of resources to achieve. Based on the resource allocation model, increase random factors considering port loading and unloading operations, establish container port loading and unloading operation simulation model, and combining analytical model with simulation model for container port loading and unloading, coordinate the whole allocation of resources. By constructing a dynamic multi-stage queuing network including quay crane, gantry cranes and trucks, using Witness simulation system to describe the container terminal handling system, through analyze the system output index of container terminal, obtain the optimal allocation of resources, and applied to the container wharf handling resources allocation. The result suggests this resources allocation can greatly improve the loading and unloading efficacy.</t>
  </si>
  <si>
    <t>2011 3RD WORLD CONGRESS IN APPLIED COMPUTING, COMPUTER SCIENCE, AND COMPUTER ENGINEERING (ACC 2011), VOL 1</t>
  </si>
  <si>
    <t>Simulation and Optimization of Handling Resources Configuration in Container Terminal</t>
  </si>
  <si>
    <t>REF_626</t>
  </si>
  <si>
    <t>The logistic chains used for supply activities in industrial processes use in most cases maritime containerized shipments. It is important to ensure a shorter transit through sea terminals. The waiting time is influenced by the movements of the means of transport (ships, trucks, trains, etc.), but also by the handling and storage capacity of the terminal. In the case of the last ones, the reliability of the handling equipment is extremely important in assessing the negative effects induced by the poor reliability of the handling equipment. Quantification of these can be done by using a simulation model. For the modeling of the containers flow in the terminal is suitable a discrete process model that allows the topological attributes of the terminal, the terminal's processes and to the capacity storage limitations to be modeled. A discrete simulation model adapted to a container terminal has been developed, based on which one can estimate the additional delays that occur in the case of a failure in the container handling process in the terminal area. Different scenarios for the moments of occurrence of malfunctions of equipments inside the terminal leading to a failure in the handling process are considered. The results are suitable for terminal administration in sustaining the acquisition of new equipment to support operations in the terminal.</t>
  </si>
  <si>
    <t>INTERNATIONAL CONFERENCE ON TRAFFIC AND TRANSPORT ENGINEERING (ICTTE 2018)</t>
  </si>
  <si>
    <t>THE FAILURE ANALYSIS OF HANDLING PROCESS IN MARITIME CONTAINER TERMINAL</t>
  </si>
  <si>
    <t>REF_625</t>
  </si>
  <si>
    <t>Effective prediction of ship arrivals should provide the estimated delay or advance of arrival ships with greater accuracy, and improve the performance of container terminal operations. Therefore, taking Gangji (Yining) Container Terminal (GYCT), China, as an example, this paper resorts to data mining approaches to predict ship arrivals and explore the value of such predicted ship arrivals on the container terminal operation. First, this study applies three data mining approaches, including Back-Propagation network (BP), Classification and Regression Tree (CART) and Random Forest (RF), to estimate the delay or advance of ship arrivals using the collected data of ship arrivals. Then the predictive performance of these three approaches is compared and discussed, it is concluded that RF performs better than BP and CART, and ETA month and ship length are the most important determinants of ship arrivals in GYCT terminal. Finally, series simulation experiments are conducted to assess the value of the ship arrivals predicted by RF model on the improvement on daily operation planning of berth allocation and quay crane assignment in the GYCT terminal. And the results show that incorporating the predicted ship arrivals by RF model is beneficial to improve the performance of operation planning of GYCT terminal.</t>
  </si>
  <si>
    <t>10.1016/j.oceaneng.2018.03.038</t>
  </si>
  <si>
    <t>OCEAN ENGINEERING</t>
  </si>
  <si>
    <t>Ship arrival prediction and its value on daily container terminal operation</t>
  </si>
  <si>
    <t>A System Dynamics model is proposed to study management policies for a maritime container terminal constrained by urban and environmental pressures, which is a commonly observed case. The model allows the testing of policies related to port pricing and capacity expansion. An example application of the generic model to an existing container terminal is made. Specifically, the model is populated with data for the Alcantara Container Terminal in the Port of Lisbon. Model results show that capacity expansion seems to produce the best results in terms of increasing port throughput. Model results also show that following a policy of decreasing port price without proper capacity expansion may have a negative impact, especially in terms of revenue and profitability. Other possible detrimental consequences of such policy include crowding and a general decrease in service quality.</t>
  </si>
  <si>
    <t>MARITIME TECHNOLOGY AND ENGINEERING, VOLS. 1 &amp; 2</t>
  </si>
  <si>
    <t>A System Dynamics model for evaluating container terminal management policies</t>
  </si>
  <si>
    <t>REF_623</t>
  </si>
  <si>
    <t>The objective of this paper is to introduce a computer simulation model with on-screen animation graphics, which can simulate the operations of a container terminal equipped with straddle carriers. The movements of the equipment are simulated as realistically as possible, to include time losses due to the mismatch in the sequence of equipment movements and to traffic congestion. Trucks are normally served in a specified area, but in some cases, straddle carrier drivers can call the truck to be served directly in the container storage areas. The experience of operators is incorporated in the model, in the form of a knowledge base, that is used to simulate the above process and determine the service discipline. The model was designed to evaluate different configurations (changes in yard layout, equipment number and productivity, truck arrival pattern and service discipline) of the simulated system. The proposed model was used to examine the differences between ''the observed'' operations strategy and the strategy dictated by the operational rules of the port of Piraeus. The results indicate that ''the observed'' strategy leads to shorter truck service time but increase the traffic conflicts in the terminal's internal transport networks.</t>
  </si>
  <si>
    <t>10.1002/atr.5670300104</t>
  </si>
  <si>
    <t>A container terminal simulation model with animation capabilities</t>
  </si>
  <si>
    <t>REF_622</t>
  </si>
  <si>
    <t>South Korea has focused on strategic economic growth for the last several decades, resulting in booming international trade. To accommodate this trade, activity in container terminals has been steadily increasing, with corresponding environmental impacts. This study proposed a model using a system dynamics approach to evaluate the total amount of carbon emissions produced in a container terminal, while calculating the required reduction amount of carbon emissions in the container terminal at a given carbon emission reduction goal from the year 2017 to the year 2030. The results of this study indicated that the container terminal will produce annually on average 108.18 million kg of CO2 equivalent emissions from the five types of processes - vessel maneuver, vessel at berth, container loading and unloading, container transportation, and container receiving and delivery - from the year 2017 to the year 2030. The total carbon emissions of the container terminal were comprised of 51.13% from the container vessel maneuver process, 0.57% from the vessel at berth process, 37.34% from the container loading and unloading process, 1.04% from the container transportation process, and 9.92% from the container receiving and delivery process. The results of this study indicated that the container terminal required the annual reduction of on average 0.53 million kg of CO2 equivalent emissions from the year 2023 to the year 2030 in order to comply with the South Korean government's emission reduction targets. (C) 2018 Elsevier Ltd. All rights reserved.</t>
  </si>
  <si>
    <t>10.1016/j.jclepro.2018.03.170</t>
  </si>
  <si>
    <t>A carbon emission evaluation model for a container terminal</t>
  </si>
  <si>
    <t>REF_621</t>
  </si>
  <si>
    <t>This paper proposes a simulation model for container terminal system analysis. We assume that the container terminal consists of gate, container yard, and berth. The facilities used in the container terminal are transfer cranes, gantry cranes, trailers, and yard tractors. The simulation model is developed using an object-oriented approach, and using SIMPLE ++, object-oriented simulation software. We also consider a simple container terminal which is a reduced system of a real terminal in Pusan, Korea and we will analyze the performance of the system. (C) 1999 Elsevier Science B.V. All rights reserved.</t>
  </si>
  <si>
    <t>10.1016/S0925-5273(98)00213-8</t>
  </si>
  <si>
    <t>A simulation model for container-terminal operation analysis using an object-oriented approach</t>
  </si>
  <si>
    <t>REF_620</t>
  </si>
  <si>
    <t>Container terminal ports are essential in supporting a country's logistics performance. Thus, it is necessary to improve the port's operation to increase its effectiveness. Port operations involve a lot of stakeholders and variables within the system that require all supporting components to be analysed, so a systemic approach is needed. This study investigates an effective decision to improve the performance of container port operations that utilize the system dynamics methodology. Port logistics performance is represented by the leading indicators of port service (service time and stacking yard usage). The results indicate that gate-out rates of container import flow and inaccurate information sharing related to container stacking systems impact port berthing time and yard occupancy ratio.</t>
  </si>
  <si>
    <t>10.23055/ijietap.2025.32.4.11043</t>
  </si>
  <si>
    <t>EVALUATION OF CONTAINER TERMINAL PERFORMANCE WITH CAPACITY CONSTRAINT USING SYSTEM DYNAMICS</t>
  </si>
  <si>
    <t>REF_619</t>
  </si>
  <si>
    <t>The aim of the article was to study the impact of various real-life factors determining the container train loading process duration. Various strategies of the crane operation were considered. Among the factors influencing the train loading duration, railcar hitching pin configuration, container weight, railcar capacity, and arrangement of containers in the storage yard were considered. The FlexSim simulation model of the container terminal was developed, covering the storage yard and the railway track. The analysis shows that the number of containers collected directly from the storage yard has the greatest impact on the train loading duration.</t>
  </si>
  <si>
    <t>10.20858/tp.2023.19.2.13</t>
  </si>
  <si>
    <t>TRANSPORT PROBLEMS</t>
  </si>
  <si>
    <t>THE IMPACT OF THE INTERMODAL TERMINAL OPERATION STRATEGY ON CONTAINER TRAIN LOADING DURATION</t>
  </si>
  <si>
    <t>REF_618</t>
  </si>
  <si>
    <t>Container terminals mainly include three types of handling equipment, i.e., quay cranes (QCs), internal trucks (ITs) and yard cranes (YCs). Due to high cost of the handling equipment, container terminals can hardly purchase additional handling equipment. Therefore, the reasonable scheduling of these handling equipment, especially coordinated scheduling of the three types of handling equipment, plays an important role in the service level and energy-saving of container terminal. This paper addresses the problem of integrated QC scheduling, IT scheduling and YC scheduling. Firstly, this problem is formulated as a mixed integer programming model (MIP), where the objective is to minimize the total departure delay of all vessels and the total transportation energy consumption of all tasks. Furthermore, an integrated simulation-based optimization method is developed for solving the problem, where the simulation is designed for evaluation and optimization algorithm is designed for searching solution space. The optimization algorithm integrates genetic algorithm (GA) and particle swarm optimization (PSO) algorithm, where the GA is used for global search and the PSO is used for local search. Finally, numerical experiments are conducted to verify the effectiveness of the proposed method. The results show that the proposed method can coordinate the scheduling of the three types of handling equipment and can realize the optimal trade-off between time-saving and energy-saving. (C) 2014 Elsevier Ltd. All rights reserved.</t>
  </si>
  <si>
    <t>10.1016/j.eswa.2014.11.016</t>
  </si>
  <si>
    <t>EXPERT SYSTEMS WITH APPLICATIONS</t>
  </si>
  <si>
    <t>Integrated internal truck, yard crane and quay crane scheduling in a container terminal considering energy consumption</t>
  </si>
  <si>
    <t>REF_617</t>
  </si>
  <si>
    <t>For intermodal transport to be competitive with road haulage, it is of importance that the transferring of transport units happens efficiently. Therefore, in this paper, the working of an intermodal terminal is analysed using a simulation model. The focus is on a rail-road freight transport terminal. To analyse the impact of several input factors on the efficiency of the terminal, an experimental design is set up. The results of the simulation study show that the number of containers and the number of handling equipment are the most important variables. The arrival pattern of trucks has almost no influence on the output measures.</t>
  </si>
  <si>
    <t>14TH INTERNATIONAL CONFERENCE ON HARBOR, MARITIME AND MULTIMODAL LOGISTICS MODELLING AND SIMULATION (HMS 2012)</t>
  </si>
  <si>
    <t>ANALYSING THE EFFICIENCY OF AN INTERMODAL TERMINAL USING SIMULATION</t>
  </si>
  <si>
    <t>REF_616</t>
  </si>
  <si>
    <t>PurposeThis paper examines how the altering nature of planning decisions affects operational efficiency in seaport container terminals. The uncertainty and the role of the planner were investigated considering the dynamic integrated planning function of the quay to yard interface.Design/methodology/approachA system dynamics model has been built to illustrate the integrated dynamic environment. Data collection was conducted at a leading container terminal at a hub port. The model was simulated for different scenarios to derive findings.FindingsThe planner has been identified as the agent who makes alterations between the initial operational plan and the actual plan. The initial plan remains uncertain even when there is no impact from crane breakdowns, requiring a significant number of alterations to be made. The planner who had worked on the yard plan had altered (approximately 45%) the initial plan than the alterations done by the planner who had worked on the vessel plan. As a result, the feedback loop that is created by the remaining moves at each hourly operation influences the upcoming operation as much as crane breakdowns influence.Originality/value The uncertainty and the role of the planner were investigated considering the dynamic integrated planning function of the quay to yard interface. The findings of this study are significant since terminal efficiency is examined considering the quayside and landside as an integrated system.</t>
  </si>
  <si>
    <t>10.1108/MABR-04-2021-0035</t>
  </si>
  <si>
    <t>Planning decision alterations and container terminal efficiency</t>
  </si>
  <si>
    <t>REF_615</t>
  </si>
  <si>
    <t>Several use of simulation tool in intermodal container terminal are presented. Initially, an overview of the operations within Casablanca container terminal is described. Then it is shown the simulation model that we have proposed and its calibration and validation. Finally, we discuss the design of a decision support system to assist the management in real time decision making.</t>
  </si>
  <si>
    <t>PROCEEDINGS OF THE 3RD IEEE INTERNATIONAL SYMPOSIUM ON SIGNAL PROCESSING AND INFORMATION TECHNOLOGY</t>
  </si>
  <si>
    <t>Calibration and validation of container terminal simulation</t>
  </si>
  <si>
    <t>REF_614</t>
  </si>
  <si>
    <t>A solution to the problems of resource allocation and scheduling of loading and unloading operations in a container terminal is presented. The two problems are formulated and solved hierarchically. First, the solution of the resource allocation problem returns, over a number of work shifts, a set of quay cranes used to load and unload containers from the moored ships and the set of yard cranes to store those containers on the yard. Then, a scheduling problem is formulated to compute the loading and unloading lists of containers for each allocated crane. The feasibility of the solution is verified against a detailed, discrete-event based, simulation model of the terminal. The simulation results show that the optimized resource allocation, which reduces the costs by [frac13], can be effectively adopted in combination with the optimized loading and unloading list. Moreover, the simulation shows that the optimized lists reduce the number of crane conflicts on the yard and the average length of the truck queues in the terminal.</t>
  </si>
  <si>
    <t>10.1023/A:1012208605758</t>
  </si>
  <si>
    <t>JOURNAL OF INTELLIGENT MANUFACTURING</t>
  </si>
  <si>
    <t>An optimization methodology for intermodal terminal management</t>
  </si>
  <si>
    <t>REF_613</t>
  </si>
  <si>
    <t>The main contribution of this paper is to determine the allocation strategy of on-shore power supply (OPS) comprising additional power capacity of OPS and adopting patterns of OPS at berth, to realize the trade-off between total cost of OPS and carbon emissions of ships. Firstly, carbon emission formulations, adopting patterns of OPS and arrival patterns of ships are described. Then, in order to minimize total cost and carbon emissions, and integer programming model for OPS allocation problem is proposed. Next, a simulation-based solution method in developed to resolve the optimization model, which consists of inner simulation module and outer optimization module. The outer module enumerates all the allocation scenarios and evaluates the results from the inner module. The inner module introduces a simulation model to represent the stochastic operation system in the container terminal and outputs results to outer module. Finally, taking a port in China as an example, this paper designs and conducts a series of experiments and discovers that the sensitivity of results emphasizes the importance of electricity price on the optimal allocation. When electricity price is lower or larger than 0.3 $/kWh, the optimal power capacity is 9200 or 5230 kW, correspondingly.</t>
  </si>
  <si>
    <t>10.1016/j.ocecoaman.2018.10.007</t>
  </si>
  <si>
    <t>OCEAN &amp; COASTAL MANAGEMENT</t>
  </si>
  <si>
    <t>A method for determining the allocation strategy of on-shore power supply from a green container terminal perspective</t>
  </si>
  <si>
    <t>TRANSPORTATION JOURNAL</t>
  </si>
  <si>
    <t>A COMPUTER-SIMULATION MODEL TO ASSIST INTERMODAL TERMINAL MANAGERS IN OPERATIONS ANALYSIS</t>
  </si>
  <si>
    <t>REF_611</t>
  </si>
  <si>
    <t>Energy consumption in Roll-on/Roll-off (Ro-Ro) terminals is significantly influenced by the internal movement of vehicles, storage layout, and the frequency of vessel departures. Terminals with European-bound lines generally operate with more regularity and store vehicles near the quay, while those serving non-European destinations must store vehicles in more remote areas, leading to longer displacement times, higher fuel consumption, and increased CO2 emissions. In this study, we present a quantitative evaluation of energy optimization through the implementation of Internet of Vehicles (IoV) in Ro-Ro terminals. By comparing conventional manual operations with an automated IoV-enabled scenario, we analyzed the impact on fuel consumption, energy cost, CO2 emissions, and idle energy loss. Two sustainability indicators (Sustainable Risk Index (SRI) and Carbon Intensity Factor (CIF)) were introduced to assess and compare the environmental performance of different terminal configurations. The findings show that IoV adoption significantly reduces energy consumption and emissions, particularly in terminals with greater internal travel distances. This research offers practical tools for port managers and decision-makers and contributes to the broader discourse on smart energy solutions and digital transformation in port logistics.</t>
  </si>
  <si>
    <t>10.3934/energy.2025051</t>
  </si>
  <si>
    <t>AIMS ENERGY</t>
  </si>
  <si>
    <t>Optimizing energy efficiency in Ro-Ro terminal operations through internal traffic automation with internet of vehicles (IoV)</t>
  </si>
  <si>
    <t>As the decarbonization strategies of automated container terminals (ACTs) continue to advance, electrically powered Battery-Automated Guided Vehicles (B-AGVs) are being widely adopted in ACTs. The U-shaped ACT, as a novel layout, faces higher AGV energy consumption due to its deep yard characteristics. A key issue is how to adopt charging strategies suited to varying conditions to reduce the operational capacity loss caused by charging. This paper proposes a simulation-based optimization method for AGV charging strategies in U-shaped ACTs based on an improved Proximal Policy Optimization (PPO) algorithm. Firstly, Gated Recurrent Unit (GRU) structures are incorporated into the PPO to capture temporal correlations in state information. To effectively limit policy update magnitudes in the PPO, we improve the clipping function. Secondly, a simulation model is established by mimicking the operational process of the U-shaped ACTs. Lastly, iterative training of the proposed method is conducted based on the simulation model. The experimental results indicate that the proposed method converges faster than standard PPO and Deep Q-network (DQN). When comparing the proposed method-based charging threshold with a fixed charging threshold strategy across six different scenarios with varying charging rates, the proposed charging strategy demonstrates better adaptability to terminal condition variations in two-thirds of the scenarios.</t>
  </si>
  <si>
    <t>10.3390/systems12110472</t>
  </si>
  <si>
    <t>SYSTEMS</t>
  </si>
  <si>
    <t>Simulation and Optimization of Automated Guided Vehicle Charging Strategy for U-Shaped Automated Container Terminal Based on Improved Proximal Policy Optimization</t>
  </si>
  <si>
    <t>REF_609</t>
  </si>
  <si>
    <t>The paper proposes an integrated scheduling problem for dual-cycle operation in container terminal, which can be described as a 3-stage hybrid flow shop problem with multi-job families and no-buffer. The integrated scheduling problem is formulated as a mixed-integer programming model. Due to the computational intractability, a simulation-based heuristic algorithm is developed for problem solution. State transition of yard truck, inventory and quota of quay crane and yard crane are introduced into the heuristic algorithm. Computational experiments and simulation analysis are conducted to evaluate the effectiveness of the proposed heuristic algorithm. The results show that the algorithm presented is very effective for the equipment scheduling of meta-container terminal with dual-cycle operation.</t>
  </si>
  <si>
    <t>10.2507/IJSIMM13(3)CO12</t>
  </si>
  <si>
    <t>INTERNATIONAL JOURNAL OF SIMULATION MODELLING</t>
  </si>
  <si>
    <t>THE INTEGRATED SCHEDULING PROBLEM IN CONTAINER TERMINAL WITH DUAL-CYCLE OPERATION</t>
  </si>
  <si>
    <t>REF_608</t>
  </si>
  <si>
    <t>Automated container terminals (ACTs) represent state-of-the-art facilities for container handling and are a current development trend. However, enhancing their operational efficiency while minimizing energy consumption remains a challenge. While metaheuristics are helpful in addressing container terminal problems, their capabilities are limited when used alone to tackle complex or integrated problems. Hybrid models can be more effective in facing these challenges. This research proposes a hybrid model, termed WOA + PSO, which combines the Whale Optimization Algorithm (WOA) and Particle Swarm Optimization (PSO) as a novel approach to address the integrated scheduling problem of automated quay cranes (AQCs), automated lift vehicles (ALVs), and automated stacking cranes (ASCs) in an ACT. Additionally, the WOA + PSO collaborates with a simulation model in a framework to become a simulation -based optimization approach. The performance of WOA + PSO is evaluated by comparing it with its base models, WOA and PSO, as well as a genetic algorithm (GA), through extensive experiments. The results show that WOA + PSO outperforms the others in achieving the objective of balancing operational efficiency and energy consumption.</t>
  </si>
  <si>
    <t>10.1016/j.aei.2024.102410</t>
  </si>
  <si>
    <t>ADVANCED ENGINEERING INFORMATICS</t>
  </si>
  <si>
    <t>Hybridizing WOA with PSO for coordinating material handling equipment in an automated container terminal considering energy consumption</t>
  </si>
  <si>
    <t>REF_607</t>
  </si>
  <si>
    <t>Indonesia's high logistics costs-approximately 14.6% of its GDP-pose a significant challenge to national economic competitiveness. Key contributing factors include complex geography, fragmented multimodal transport systems and inefficient container terminal operations, particularly concerning the handling of empty containers. This study investigates operational optimization in a container terminal using Agile and Lean principles, without additional investment or infrastructure expansion. It compares throughput before and after optimization, focusing on equipment productivity and reduction in idle time, especially related to equipment and human resources. Field implementation began in 2015, followed by simulation-based validation using system dynamics modeling. The terminal demonstrated a sustained increase in capacity beginning in 2016, eventually exceeding its original design capacity while maintaining acceptable berth and Yard Occupancy Ratios (BOR and YOR). Agile practices improved empty container handling, while Lean methods enhanced berthing process efficiency. The findings confirm that significant reductions in port operational costs, shipping operational costs, voyage turnover time, and logistics costs can be achieved through strategic operational reforms and better resource utilization, rather than through capital-intensive expansion. The study provides a replicable model for improving terminal efficiency in ports facing similar constraints.</t>
  </si>
  <si>
    <t>10.3390/su17135773</t>
  </si>
  <si>
    <t>Beyond River Port Logistics: Maximizing Land-Constrained Container Terminal Capacity with Agile and Lean Operation</t>
  </si>
  <si>
    <t>REF_606</t>
  </si>
  <si>
    <t>System resilience denotes the capacity to uphold desired system performance in the face of disruptions. Evaluating the resilience of a process system necessitates a thorough consideration of the intricate interplay between its components and the pivotal role of process parameters in reflecting the repercussions of disruptions on the system. This paper introduces an integrated methodology that takes into account component interactions and leverages process data for the resilience assessment of a process system. The proposed methodology comprises four key components: system structure analysis, disruption impacts analysis, process simulation, and resilience assessment. Firstly, the system structure is meticulously scrutinized using a P-graph model. This analysis encompasses the assessment of the significance and interplay of components, as well as the evaluation of how component failures affect the system's overall processes. Secondly, a Markov model is devised to examine the state transition process of components and quantifies the maintenance time needed for failed components. Subsequently, a simulation model is formulated to acquire real-time process parameters in the presence of disruptive events. Finally, the system's performance response function (PRF) is derived from the normalization of these process parameters. Building upon this foundation, a resilience assessment is conducted with a focus on the PRF. To illustrate the effectiveness of this methodology, an LNG terminal system is employed as an exemplar.</t>
  </si>
  <si>
    <t>10.1016/j.ress.2024.110207</t>
  </si>
  <si>
    <t>RELIABILITY ENGINEERING &amp; SYSTEM SAFETY</t>
  </si>
  <si>
    <t>A simulation-based approach for resilience assessment of process system: A case of LNG terminal system</t>
  </si>
  <si>
    <t>REF_605</t>
  </si>
  <si>
    <t>3D visualization simulation is the important research method of port logistic production system, whereas the lack of uniform standard and interface of 3D simulation model, it is very difficult to share the simulation model resource, and which caused modeling repeatedly and developing efficiency lowly. Container terminal 3D simulation model repository should be considered as the key factor of solving the problems of developing low-efficiency and model no reuse of logistic system. This paper classified the model resources required by container terminal 3D simulation, explained the functions of container terminal 3D simulation model repository, and gave its framework. Finally, we discussed the key techniques to implement the container terminal 3D simulation model repository.</t>
  </si>
  <si>
    <t>10.4028/www.scientific.net/AMM.157-158.295</t>
  </si>
  <si>
    <t>MECHATRONICS AND APPLIED MECHANICS, PTS 1 AND 2</t>
  </si>
  <si>
    <t>Design and Implementation of Container Terminal 3D Simulation Model Repository</t>
  </si>
  <si>
    <t>REF_604</t>
  </si>
  <si>
    <t>This article describes the modelling of a container terminal using Petri nets with predicates. It starts by describing this extension of the basic Petri net theory and demonstrates its applicability and adequacy to solving complex logistic processes and reliability problems more intuitively and easily than the basic Petri net theory. The developed computational model allows the evaluation of different configurations and combinations of transport equipment, providing a very complete port system's simulation. Such simulation, based on an estimated container flow, allows the calculation of several waiting times, time in port, attendant time, queuing time, equipment and resource occupation and so on. Changing the internal configuration of the terminal or the external conditions will result in different costs and profits to the terminal, making it possible to perform a terminal optimization based on the study of long-term performance indicators under different conditions. This systematic approach is implemented in a specific case study related to the operational cargo handling procedures of a container terminal. The study will be made considering verified operation performance over some months where the mean values of the variables considered are representative of the typical' operation of that particular terminal, which allows a validation of the model.</t>
  </si>
  <si>
    <t>10.1177/1475090213518519</t>
  </si>
  <si>
    <t>PROCEEDINGS OF THE INSTITUTION OF MECHANICAL ENGINEERS PART M-JOURNAL OF ENGINEERING FOR THE MARITIME ENVIRONMENT</t>
  </si>
  <si>
    <t>Intermodal terminal cargo handling simulation using Petri nets with predicates</t>
  </si>
  <si>
    <t>REF_603</t>
  </si>
  <si>
    <t>This paper develops a methodology to design a Container Terminal Operation Simulation (CTOS), which simulates the vulnerability of port operations to extreme weather events. In CTOS, an agent based model was built for a container terminal at the Port of Sydney to simulate the operations of port operational assets such as cranes, straddle carriers and trucks to observe the individual and collective behaviour under various extreme weather events using a set of Key Performance Indicators (e.g. crane rates, straddle productivity, truck queue length, yard utilisation). The CTOS results show that the crane throughput loss due to six hours of heavy rain and six hours of high speed wind (separately) is 13 per cent within a 24 hour period. While high speed wind and heavy rain have the highest impact on the crane throughput, high speed wind and flooding in the port area leads to a backlog in servicing trucks. Using a single terminal for the purpose of the simulation, as opposed to the entire Sydney Port, is a limitation. However, the CTOS is designed and coded in a manner that permits its modification such that it can be applied to other port contexts. CTOS offers a versatile tool for port authority to enable estimating performance implications of extreme weather-related disruptions to port operations. CTOS provides an effective proof of concept prototype where the system architecture can be reused in developing an open generic port operations model.</t>
  </si>
  <si>
    <t>EUROPEAN JOURNAL OF TRANSPORT AND INFRASTRUCTURE RESEARCH</t>
  </si>
  <si>
    <t>Container terminal operations simulator (CTOS) - Simulating the impact of extreme weather events on port operation</t>
  </si>
  <si>
    <t>Scheduling and decision-making in container terminal logistics system (CTLS) has been the focus of research and application. This paper remodels the operation of CTLS through advancing an innovative multilevel control and feedback framework and methodology. That utilizes the knowledge engine which lies in business intelligence platform to drive the simulation and optimization engine indwelling in the simulation based optimization tool which drives the operation of port ultimately. At the same time, the whole CTLS is modeled by agent-based computing, and the production and scheduling section is based on the Harvard architecture, which serves the turn to solve scheduling and decision-making in the complex system and makes the modeling to process of outstanding agility and robustness. This methodology roots in pervasive computing deeply and helps the executors and managers in port to constitute the scheduling plan and support important decision. Finally, an applied instance on the berth allocation and an equipment layout analysis to support decision are demonstrated to validate the feasibility and creditability of the methodology.</t>
  </si>
  <si>
    <t>2008 INTERNATIONAL CONFERENCE ON MECHATRONICS AND AUTOMATION: (ICMA), VOLS 1 AND 2</t>
  </si>
  <si>
    <t>Container Terminal Scheduling and Decision-making Using Simulation Based Optimization and Business Intelligence</t>
  </si>
  <si>
    <t>REF_601</t>
  </si>
  <si>
    <t>This article presents a simulation based approach to provide a short-term energy demand load curve forecast in a container terminal. While common methods for forecasting electricity consumption are working well in industrial enterprises with continuous and recurrent production cycles, in a container terminal the processes are highly dynamical. That is why the most common methods are not working well, and a simulation based approach is chosen. If the energy consumption can be forecasted precisely it is possible to benefit from cheaper energy purchase prices. If the container terminal uses battery powered vehicles additional strategies to use the forecast can be employed. One possibility is to reduce the costs by using intelligent strategies for charging the batteries in a battery-exchange station where the energy consumption can be forecasted as well. The important fact is that with the exchange station the load curve can be influenced without interfering in the logistic processes of the terminal because the energy consumption of the transport vessels is decoupled from the logistic processes by the use of batteries. This is why methods like load shifting and peak clipping can be applied quite easily. First, a simulation based approach is introduced to calculate a reliable load forecast of the entire terminal and of the battery changing station. Second, several use cases are presented for how the terminal benefits from this forecast.</t>
  </si>
  <si>
    <t>PROCEEDINGS OF THE 2014 INTERNATIONAL JOINT CONFERENCE ON NEURAL NETWORKS (IJCNN)</t>
  </si>
  <si>
    <t>A Simulation Based Approach to forecast a Demand Load Curve for a Container Terminal using Battery Powered Vehicles</t>
  </si>
  <si>
    <t>REF_600</t>
  </si>
  <si>
    <t>The discharge/loading process of a single container ship by multiple quay cranes and shuttle vehicles moving back and forth from the quay to the yard and vice versa is focused in this paper. The core problem of this major operational issue reduces to finding the optimal assignment and optimal sequencing (schedule) of bays (jobs) processed by a fixed number of available cranes (machines). Under the classical assumption that machines have no release time and that their processing occurs with continuity, at a constant rate, in literature it has been tackled as a deterministic machine scheduling problem and formulated by integer programming as the quay crane scheduling problem (QCSP). Here, instead, the QCSP is viewed as a decisional step within an uncertain and dynamic logistic process where the quay cranes are the resources to be managed at the best, i.e., by minimizing the time spent waiting for each other due to conflicts, as well as the time wasted for blocking and starvation phenomena due to congestion occurring along the path from the quay area and to the stacking yard and vice versa. We present a simulation-based optimization (SO) model for this wider modeling problem with the objective of finding the schedule which optimizes a classical objective function. The search process for the optimal schedule is accomplished by a simulated annealing (SA) algorithm, while performance estimation of the overall container discharge/loading process is provided by the simulation framework as a whole. Numerical experiments on a real instance are presented for tuning purposes of the SA procedure implemented within the simulator.</t>
  </si>
  <si>
    <t>10.1007/s00291-010-0207-2</t>
  </si>
  <si>
    <t>Simulation-based optimization for discharge/loading operations at a maritime container terminal</t>
  </si>
  <si>
    <t>REF_599</t>
  </si>
  <si>
    <t>The contribution of this paper is to provide a method for optimizing installation capacity and operation strategy of a hybrid renewable energy system (HRES) with offshore wind energy for container terminals. A mixed integer optimization model of the HRES is proposed, in which maximum environmental and economic benefits are considered as two objectives, and energy supply and demand balances, energy storage balances, technical constraints and quantity limitations are considered as constraints. However, container terminals typically execute many complicated and stochastic operation processes, and thus represent highly dynamic energy demands. Therefore, a simulation-based optimization algorithm is developed to resolve the optimization model, which consists of a simulation model and an optimization module. The simulation model is constructed to overcome the stochastic characteristics and obtain the hourly energy demands in container terminals, which are fed into the optimization module. While, the optimization module is used to search the solution space and provide the final decisions under three evaluation strategies: cost-saving, low-carbon, and trade-off strategy. Finally, taking a container terminal in Northeast China as an example, optimal results are obtained by the proposed algorithm, which can be used to provide references for power department policy making and green container terminal construction.</t>
  </si>
  <si>
    <t>10.1016/j.oceaneng.2019.106125</t>
  </si>
  <si>
    <t>A method for optimizing installation capacity and operation strategy of a hybrid renewable energy system with offshore wind energy for a green container terminal</t>
  </si>
  <si>
    <t>REF_598</t>
  </si>
  <si>
    <t>Truck appointment systems facilitate coordination between container terminals and drayage trucks in container pick-up operation reservation. However, in many cases, trucks with a reservation do not arrive at the scheduled appointment. As the number of no-shows increases, the container terminals productivity will plummet, and drayage trucks that failed to get reservations will lose their opportunity to get service. This research proposes an overbooking reservation mechanism (ORM) to alleviate the negative impact of these no-shows. This research scrutinizes the detailed process mapping of the existing reservation mechanism, proposes an ORM, and conducts agent-based simulations to evaluate the ORM's performance against the regular and go-show reservation mechanisms at different levels of no-shows and working occupancies. The application of an ORM can improve productivity and service levels while minimizing such negative externalities as queue length, overtime, and greenhouse gas emissions. High overtime intensities only appear when the container terminal's workload is exceptionally high, at 200% of maximum capacity, with a low level of no-shows. Even in exceptionally high demand conditions, the drayage trucks wait only up to 16 min before receiving service. (C) 2021 The Authors. Production and hosting by Elsevier B.V.</t>
  </si>
  <si>
    <t>10.1016/j.ajsl.2021.01.002</t>
  </si>
  <si>
    <t>ASIAN JOURNAL OF SHIPPING AND LOGISTICS</t>
  </si>
  <si>
    <t>Impact of overbooking reservation mechanism on container terminal's operational performance and greenhouse gas emissions</t>
  </si>
  <si>
    <t>REF_597</t>
  </si>
  <si>
    <t>To provide better services for shipping companies and to increase profits, improving the operation equipment efficiency and reducing the ship dwelling time at the terminal is an important problem for port companies. Port management information system and information technology is widely used for supporting and controlling the terminal operation, which can track the operation data simultaneously. In this study, a simulation model is constructed using historical Global Positioning System tracking data and analyzed for application to the shipping industry. For improving handling equipment efficiency, flexibility analysis is performed for the trailers that served gantry cranes for ship operation (container loading and unloading processes) by comparing the different dispatching scenarios after performing the simulation. The proposed procedure to construct simulation models of container terminal was found to be both practical and powerful.</t>
  </si>
  <si>
    <t>PROCEEDINGS OF THE 2014 WINTER SIMULATION CONFERENCE (WSC)</t>
  </si>
  <si>
    <t>SIMULATION-BASED FLEXIBILITY ANALYSIS OF VEHICLE DISPATCHING PROBLEM ON A CONTAINER TERMINAL WITH GPS TRACKING DATA</t>
  </si>
  <si>
    <t>REF_596</t>
  </si>
  <si>
    <t>Container terminals play a critical role in maritime supply chains. However, they show vulnerabilities to severe weather events due to the sea-land interface locations. Previous severe weather risk analysis focused more on larger assessment units, such as regions and cities. Limited studies assessed severe weather risks on a smaller scale of seaports. This paper aims to propose a severe weather-induced container terminal loss estimation framework. Based on a container terminal operation simulation model, monthly average loss and single event-induced loss are obtained by using historical hazard records and terminal operation records as model inputs. By studying the Port of Shenzhen as the case study, we find that the fog events in March lead to the longest monthly port downtime and the highest monthly severe weather-induced economic losses in the studied port. The monthly average loss is estimated to be 30 million USD, accounting for 20% of the intact income. The worst-case scenario is found to be a red-signal typhoon attack which results in nearly 20% decrease in the month's income. The results provide useful references for various container terminal stakeholders in severe weather risk management.</t>
  </si>
  <si>
    <t>10.1080/03088839.2018.1516049</t>
  </si>
  <si>
    <t>MARITIME POLICY &amp; MANAGEMENT</t>
  </si>
  <si>
    <t>Simulation-based severe weather-induced container terminal economic loss estimation</t>
  </si>
  <si>
    <t>REF_595</t>
  </si>
  <si>
    <t>The primary objective of this research was to implement a more efficient handling strategy in the container terminal storage yard at the Baltic Hub Container Terminal (BHCT). Following an analysis of the current logistics system associated with starboard-side mooring, an attempt was made to shift the mooring to the port side. Two routing strategies corresponding to the analysed mooring operations were tested using a developed model. Simulations were conducted to enable a comparison of various handling strategies that were suitable for the mooring arrangements and equipment under investigation. This analysis was based on reliable information obtained from a real process. Evaluative criteria for examining the impact of changing the handling strategy of internal movement vehicles (IMVs) in the terminal storage yard in terms of process efficiency included the total time and distance of container transportation and the truck utilisation level. A new route for IMVs was developed to accommodate the changed mooring operation. This adjustment aimed to enhance the discharge process and to reduce the distance travelled, resulting in a reduction in fuel consumption. The shorter travel distance also positively impacted productivity, and contributed to a reduction in operating costs. The changes to the mooring arrangement directly resulted in a 10% increase in the quay crane gross productivity, measured in moves per hour (mph). Given that many ports do not pay attention to how ships are moored, the case study and analysis presented here can help staff quickly improve their handling strategy and productivity, thus increasing the port's competitiveness.</t>
  </si>
  <si>
    <t>10.2478/pomr-2024-0028</t>
  </si>
  <si>
    <t>POLISH MARITIME RESEARCH</t>
  </si>
  <si>
    <t>Simulation-Based Approach to a More Efficient Handling Strategy for a Container Terminal Storage Yard: Case Study of the Baltic Hub Container Terminal</t>
  </si>
  <si>
    <t>REF_594</t>
  </si>
  <si>
    <t>At present considerable attention is being given to climate change and global warming. In an increasing globalized world, international transportation produces considerable CO2, which is an essential cause for global warming. As important nodes in international logistics, seaports discharge massive CO2, especially for the handling equipment and vessels. In order to reduce the port carbon emissions influenced by handling facilities, a microscopic handling simulation model is built in this paper for a container terminal with four types of quay cranes and two types of vehicles by using Arena software. Firstly, by changing the type of quay crane and the number of vehicles, the carbon emissions from each facilities are analyzed. Secondly, the carbon emissions of system with five common combinations of quay crane and vehicles are contrasted, and two recommended combinations are provided.</t>
  </si>
  <si>
    <t>INTERNATIONAL CONFERENCE ON MATHEMATICS, MODELLING AND SIMULATION TECHNOLOGIES AND APPLICATIONS (MMSTA 2017)</t>
  </si>
  <si>
    <t>Simulation-based Research on the Allocation of Low-carbon Container Terminal Handling Equipment</t>
  </si>
  <si>
    <t>REF_593</t>
  </si>
  <si>
    <t>The research is based on investigating and studying various real container terminals operations systems. Firstly, intra-terminal transport is defined in the container terminal operations system that is a discrete event dynamic system and its entities, events, activities and process are analyzed. Secondly, based on identifying the various congestions, the simulation model is proposed. The cycle-time consists of the four stochastic variables: the non-stop traveling time of the cycle, the waiting time at berth, the waiting time at yard, and the abnormal waiting time in a cycle due to congestion or operations management. Finally, Container Terminals of Phase I of Shanghai Yangshan Port and Shanghai Waigaoqiao Container Terminal are chosen as a case to study how to determine the quay-yard cycle time and the operation-line productivities in the quay-yard cycle for a planning terminal that has not been established. This research indicates that this simulation model for intra-terminal transport can be applicable to any of the five typical container-terminal handling systems and the empirical equation obtained in case study can make sense for the simulation model for inter-terminal transport.</t>
  </si>
  <si>
    <t>10.1109/SOLI.2008.4683013</t>
  </si>
  <si>
    <t>IEEE/SOLI'2008: PROCEEDINGS OF 2008 IEEE INTERNATIONAL CONFERENCE ON SERVICE OPERATIONS AND LOGISTICS, AND INFORMATICS, VOLS 1 AND 2</t>
  </si>
  <si>
    <t>A Simulation Model for Intra-terminal Transport of Container Terminal Operations System</t>
  </si>
  <si>
    <t>REF_592</t>
  </si>
  <si>
    <t>The conventional approach of designing a container yard should be reexamined in the context of sustainable port development. Considering the uncertain future throughput, a simulation-based optimization framework is proposed to obtain a cost-effective and reliable design solution to the physical layout and equipment deployment strategy of the yard at a mega container terminal. In this framework, a two-stage stochastic programmingmodel is presented aided with a simulation procedure of terminal operations. Finally, an application is given and the results show that the proposed integrated decision framework is effective and helpful for optimizing container yard design in the context of sustainable development of container terminals.</t>
  </si>
  <si>
    <t>10.1155/2016/7467498</t>
  </si>
  <si>
    <t>MATHEMATICAL PROBLEMS IN ENGINEERING</t>
  </si>
  <si>
    <t>Simulation-Based Optimization for Yard Design at Mega Container Terminal under Uncertainty</t>
  </si>
  <si>
    <t>REF_591</t>
  </si>
  <si>
    <t>A key problem of a container terminal is the design and integration of the security procedures, such as the containers inspection, in the normal container terminal operations. The main goal of this paper is to advance a research approach for designing effective operational policies and practices to manage better the flow of containers toward the inspection area as well as understanding the impact on the container terminal efficiency of the integration of the inspection activities in the normal operations. To this end the author uses a modelling and simulation-based approach supported by advanced design of experiments, techniques and response surface methodology. (C) 2010 Elsevier B.V. All rights reserved.</t>
  </si>
  <si>
    <t>10.1016/j.ijpe.2010.01.026</t>
  </si>
  <si>
    <t>Design and integration of the containers inspection activities in the container terminal operations</t>
  </si>
  <si>
    <t>REF_590</t>
  </si>
  <si>
    <t>This article discusses the key technologies of container terminal logistics system simulation based on Anylogic. After some fieldwork, data fitting and logistics process analysis, uses the Anylogic simulation technology on a port in the Pearl River Delta, to get the utilization rate of the berths. It provides the foundation and support to the terminal logistics process optimization in the future.</t>
  </si>
  <si>
    <t>RESEARCH ON KEY TECHNOLOGy OF CONTAINER TERMINAL LOGISTICS SYSTEM SIMULATION BASED ON ANYLOGIC</t>
  </si>
  <si>
    <t>REF_589</t>
  </si>
  <si>
    <t>Due to more and more awareness of environmental conservancy and sustainable development, automated container terminals (ACTs) have gained increasing attention and become popular worldwide. However, there is a crucial challenge in implementing ACTs, i.e., how to develop terminal layout planning (including terminal layout and facility selection) to realize performance goals. Focusing on this challenge, the aim of this paper is to resolve how to appropriately select terminal layout and facilities in ACTs with respect to various performance criteria. Several research limitations can be gathered from the existing literature: (i) Most of the existing works mainly develop optimization technologies to tackle layout optimization and facility comparison issues within a few types of terminal layout and facilities, yet few researchers have proposed evaluation methods for making selection decisions on terminal planning. (ii) Only a few types of criteria are considered, and requirements and preferences of different participants are ignored, not to say realizing an optimal compromise by employing comprehensive criteria weights in evaluation processes. (iii) New technological improvement in ACTs has not received much attention, and there still lacks a method to precisely quantify the concerned criteria. Accordingly, this paper introduces a criteria system comprising economic, environment, social, resource and performance groups and develops an agent-based simulation method considering different terminal layout and facilities to determine criteria values. A multi-criteria decision making (MCDM) framework is proposed for making the most reasonable and appropriate selection decisions, which employs a variation coefficient weighted method to calculate comprehensive criteria weights, which integrate subjective and objective weights obtained from AHP (analytic hierarchy process) method and entropy weight method. To overcome rank reversal problems in the TOPSIS (technique for order preference by similarity to an ideal solution) method, a new improved rank reversal robust TOPSIS method, called NR-TOPSIS, is utilized to rank and select alternatives, which is ranking stable in the experiments performed. An illustrative application on a container terminal in China demonstrates the effectiveness of the proposed MCDM method and sensitivity and comparative analysis verifies the robustness and stability of the method.</t>
  </si>
  <si>
    <t>10.1016/j.eswa.2023.120197</t>
  </si>
  <si>
    <t>An integrated simulation and AHP-entropy-based NR-TOPSIS method for automated container terminal layout planning</t>
  </si>
  <si>
    <t>REF_588</t>
  </si>
  <si>
    <t>The yard operation plays an important role in the daily running of a container terminal. Whether the efficiency of a terminal can be improved depends to a significant extent on the operation of its container yard. In order to analyze the yard operation, this paper builds a 3D simulation model to simulate and visualize the yard operation in a container terminal. First, we study the characteristics of yard layout and present the logical model of container yard operation with rubber-tired gantry cranes and trucks. Then, a 3D simulation model of yard operation is implemented, which includes model setup module, container terminal layout module, horizontal transport module, yard operation module, statistics analysis module, and 3D amination module. Finally, the implemented model is applied in practice to examine the impact of reshuffle operation, and the numbers of internal trucks and yard cranes on the efficiency of yard operation. And the results show the proposed simulation model performs well and is helpful for exploring yard operation effectively.</t>
  </si>
  <si>
    <t>PROCEEDINGS - 30TH EUROPEAN CONFERENCE ON MODELLING AND SIMULATION ECMS 2016</t>
  </si>
  <si>
    <t>3D Simulation Modeling of Yard Operation in a Container Terminal</t>
  </si>
  <si>
    <t>REF_587</t>
  </si>
  <si>
    <t>The joint scheduling of quay cranes (QCs), yard cranes (YCs), and yard trucks (YTs) is critical to achieving good overall performance for a container terminal. However, there are only a few such integrated studies. Especially, those who have taken the vessel stowage plan (VSP) into consideration are very rare. The VSP is a plan assigning each container a stowage position in a vessel. It affects the QC operations directly and considerably. Neglecting this plan will cause problems when loading/unloading containers into/from a ship or even congest the YT and YC operations in the upstream. In this research, a framework of simulation-based optimization methods have been proposed firstly. Then, four kinds of heuristics/metaheuristics has been employed in this framework, such as sort-by-bay (SBB), genetic algorithm (GA), particle swarm optimization (PSO), and multiple groups particle swarm optimization (MGPSO), to deal with the yard crane scheduling problem (YCSP), yard truck scheduling problem (YTSP), and quay crane scheduling problem (QCSP) simultaneously for export containers, taking operational constraints into consideration. The objective aims to minimize makespan. Each of the simulation-based optimization methods includes three components, load-balancing heuristic, sequencing method, and simulation model. Experiments have been conducted to investigate the effectiveness of different simulation-based optimization methods. The results show that the MGPSO outperforms the others.</t>
  </si>
  <si>
    <t>10.3390/math9182236</t>
  </si>
  <si>
    <t>Joint Scheduling of Yard Crane, Yard Truck, and Quay Crane for Container Terminal Considering Vessel Stowage Plan: An Integrated Simulation-Based Optimization Approach</t>
  </si>
  <si>
    <t>REF_586</t>
  </si>
  <si>
    <t>Disruption often occurs in both land-side and sea-side operations at a container terminal, causing substantial interference of scheduled operations and poor green performance. The land-side disruption is rarely researched, and this paper addresses the ordinary level of such disruption where typically some truck arrivals deviate from their schedule in the appointment system. The aim is to find a response strategy that can maintain high resilience ability of the system in neutralizing the impact of disruptions. First, we consider different levels of late or early arrivals, as well as non-appointed arrivals at a container terminal that is running an appointment system. Second, we propose some response strategies to cope with different levels of disruptions, and evaluate their resilience ability with two Key Performance Indicators (KPIs): total waiting time of on-time trucks and total idling emissions of all trucks, in order to balance the service quality to punctual arrivals and green performance of the whole system. Third, we conduct a sensitivity analysis using a discrete event simulation to understand the performance of the proposed strategies. Considering both KPIs, the best strategy in most scenarios is a combined one based on priority and yard-crane moving distance; its performance depends primarily on the concentration level of container locations and secondly on the system utilization. In the other scenarios that have low arrival punctuality, the best strategy could focus purely on yard crane moving distance, especially when the first KPI is given lower weight than the second one. (C) 2016 Elsevier Ltd. All rights reserved.</t>
  </si>
  <si>
    <t>10.1016/j.trd.2015.12.014</t>
  </si>
  <si>
    <t>TRANSPORTATION RESEARCH PART D-TRANSPORT AND ENVIRONMENT</t>
  </si>
  <si>
    <t>Disruption management for truck appointment system at a container terminal: A green initiative</t>
  </si>
  <si>
    <t>REF_585</t>
  </si>
  <si>
    <t>This research is focused on the analysis of a container terminal common in industrial zones in urban areas, called the logistic services container terminal (LSCT), defined as a small to medium size inland terminal with no intermodal facilities. The main function of an LSCT is to provide services to a hinterland market. The material handling equipment used is limited to reach stacker cranes and front loaders, and ground transportation in and out is performed using trucks exclusively. Moreover, there are many operations related to servicing customers in special service areas within the yard. In this research, we explicitly recognize the limitations and features associated with the operations within LSCT yards, which means that the problems and solutions must be conceived and addressed in a very unique way, considering that services have to be coordinated with the strategies proposed for managing the movement of containers in and out. This paper characterizes the different aspects present in the treatment of an LSCT and proposes an adapted version of three known greedy decision rules for determining the location for an arriving container. We evaluate the performances of these rules using a discrete-event simulator: the min-max rule outperforms the other tested rules. These rules are also extended to consider the cost of moving relocating containers. The results show that using cost-aware rules while increasing the expected number of relocations reduces the total expected cost significantly.</t>
  </si>
  <si>
    <t>10.1007/s10100-023-00857-1</t>
  </si>
  <si>
    <t>CENTRAL EUROPEAN JOURNAL OF OPERATIONS RESEARCH</t>
  </si>
  <si>
    <t>Comparing allocation and relocation policies at a logistics service container terminal: a discrete-event simulation approach</t>
  </si>
  <si>
    <t>REF_584</t>
  </si>
  <si>
    <t>In response to the phenomenon that some container terminals are excess capacity and some others are overloaded because of the imbalance of transportation development, this paper proposed a 3D simulation model of operation system for the container terminal apron. First, we study the characteristics of operation system for container terminal apron. Second, a 3D simulation model of terminal apron operation is implemented, which includes sub-model of layout, sub model of setting variables and parameters, sub-model of ship arriving, sub-model of loading and discharging operation, and sub-model of horizontal transport and yard operation, as well as sub-model of 3D animation. Finally, the implemented model is applied in practice to examine the impact of the time of single operation of the quay crane, the number of trucks allocated for each working path and the number of yard cranes equipped for each block on the operation efficiency of terminal apron. And the results show the proposed simulation model performs well that can provide experience and reference for exploring terminal apron effectively.</t>
  </si>
  <si>
    <t>PROCEEDINGS - 31ST EUROPEAN CONFERENCE ON MODELLING AND SIMULATION ECMS 2017</t>
  </si>
  <si>
    <t>3D SIMULATION MODELING OF APRON OPERATION IN A CONTAINER TERMINAL</t>
  </si>
  <si>
    <t>REF_583</t>
  </si>
  <si>
    <t>The article presents the container storage problem in the rail-road intermodal terminal. This issue was considered from the point of view of the distance traveled by transshipment devices and the loading work duration. For the purposes of the research, the processes of a container handling in the rail-road intermodal terminal were presented in detail. A review of the literature in the field of container storage methods and strategies was carried out. A simulation model, which proposed 4 variants of the containers distribution in the storage areas as a function of their distribution on the train in the FlexSim environment was developed.</t>
  </si>
  <si>
    <t>TRANSPORT MEANS 2018, PTS I-III</t>
  </si>
  <si>
    <t>Containers Storage Strategy at the Rail-Road Intermodal Terminal</t>
  </si>
  <si>
    <t>REF_582</t>
  </si>
  <si>
    <t>Automatic container terminals (ACTs) have emerged as the development direction of upgrading and transformation for traditional manual container terminals. A number of terminal layouts are devised and implemented. However, it is the lack of a comprehensive comparison of different container terminal layouts from aspects of operation cost and energy consumption. In view of this, a Time-Driven Activity-Based Costing approach is used to identify the ACT profitability bottlenecks. A multi-agent based simulation model considering four main terminal layouts is established. The multi-level handling of ACTs is simulated and the corresponding operation time and energy consumption are calculated. Simulation results show that automated guided vehicles (AGVs) are the key to improving the cost-effectiveness of ACTs. The cost-effectiveness of ACTs with non-cantilever automated rail-mounted gantries (ARMGs) is more vulnerable than that of ACTs with bilateral cantilever ARMGs. On average, ACTs with bilateral-cantilever ARMGs consume less energy per container task than ACTs with non-cantilever ARMGs. This study provides management insights into resource allocation, layout design, and sustainable development.</t>
  </si>
  <si>
    <t>10.1016/j.simpat.2023.102792</t>
  </si>
  <si>
    <t>SIMULATION MODELLING PRACTICE AND THEORY</t>
  </si>
  <si>
    <t>Evaluation of operation cost and energy consumption of ports: comparative study on different container terminal layouts</t>
  </si>
  <si>
    <t>REF_581</t>
  </si>
  <si>
    <t>It is difficult to build a mathematical model for a railway container terminal because its complexity and randomicity. A simulation based optimization(SBO) algorithm is adopted to search optimal solution on deployment of equipments and the loading-unloading strategies in the railway container terminal, where simulation model is combined with GA. The definition of suppositional evaluation is presented which helps to decrease computing time. To compute fitness quickly and distribute the computing resource rationally, methods of case retrieval and adjusting time step and simulating times are used. All of these make the algorithm not only decrease the computing time evidently but also have the ability to gain satisfied solutions. The performance of the algorithm is demonstrated by a simulation of loading-unloading operation in a railway container terminal. Finally, optimal loading-unloading strategies are analyzed and compared.</t>
  </si>
  <si>
    <t>10.1109/CCDC.2008.4598075</t>
  </si>
  <si>
    <t>2008 CHINESE CONTROL AND DECISION CONFERENCE, VOLS 1-11</t>
  </si>
  <si>
    <t>Simulation Based Optimization for the Loading-unloading Strategies of Railway Container Terminal</t>
  </si>
  <si>
    <t>REF_580</t>
  </si>
  <si>
    <t>This paper introduces an advisory-based time slot management system (TSMS) to control truck arrivals at seaport terminals with the aim to reduce congestion at terminal gates. A modeling framework is proposed, developed, and applied to assess the impact of a truck arrival shift for a case study in the Port of Rotterdam. This system is designed to apply control policies on truck inflow while taking the behavioral aspect of truck operating companies (TOCs) into account. Discrete choice modeling is used to infer the time-of-day preferences of TOCs for container pick-ups from the exchange of information between port and hinterland stakeholders. These preferences are used to shift truck arrivals to the off-peak period which consequently reduces the high waiting time of trucks at terminals gates. To evaluate the effectiveness of the designed TSMS, a simulation platform that resembles terminal operations has been developed using discrete-event simulation. For the allocation of trucks to a certain time of day, a choice-based stochastic assignment heuristic is designed to approximate the optimum configuration of the truck arrival shift policy experiment. The optimum truck arrival shift design shows that significant gain can be obtained even at a low shift rate.</t>
  </si>
  <si>
    <t>10.1177/03611981221090940</t>
  </si>
  <si>
    <t>Advisory-Based Time Slot Management System to Mitigate Waiting Time at Container Terminal Gates</t>
  </si>
  <si>
    <t>REF_579</t>
  </si>
  <si>
    <t>With the development of logistics trade, the number of containers transported by train increases promptly, which makes it grow important that how to improve the operation efficiency in a railway container terminal. In this paper, a simulation model of load-unload process in a railway container terminal is built. Through running the model, some strategies are educed.</t>
  </si>
  <si>
    <t>GLOBALIZATION CHALLENGE AND MANAGEMENT TRANSFORMATION, VOLS I - III</t>
  </si>
  <si>
    <t>A simulation based research on loading-unloading strategy in railway container terminal</t>
  </si>
  <si>
    <t>REF_578</t>
  </si>
  <si>
    <t>Container terminals pay more and more attention to the service quality of inland transport modes such as tucks, trains and barges. Truck appointment systems are a common approach to reduce truck turnaround times. This paper provides a tool to use the truck appointment system to increase not only the service quality of trucks, but also of trains, barges and vessels. We propose a mixed integer linear programming model to determine the number of appointments to offer with regard to the overall workload and the available handling capacity. The model is based on a network flow representation of the terminal and aims to minimize overall delays at the terminal. It simultaneously determines the number of truck appointments to offer and allocates straddle carriers to different transport modes. Numerical experiments, conducted on actual data, quantify the benefits of this combined solution approach. Discrete-event simulation validates the results obtained by the optimization model in a stochastic environment. (C) 2013 Elsevier B.V. All rights reserved.</t>
  </si>
  <si>
    <t>10.1016/j.ejor.2013.07.005</t>
  </si>
  <si>
    <t>Benefits of a truck appointment system on the service quality of inland transport modes at a multimodal container terminal</t>
  </si>
  <si>
    <t>REF_577</t>
  </si>
  <si>
    <t>The Consorzio Napoletano Terminal Containers (CO.NA.TE.CO.), located in the Port of Naples, is continuously exposed to a problem of traffic congestion. A queuing model has been developed to analyze this congestion problem. The model includes part of the process of exportation. The entities represented the vehicles that access into the terminal, and the servers were the entrance gate and the process of moving the freight to the yard. According to these definitions, five models have been developed with the aim of simulating solutions to the congestion problem. The first model reproduces the current situation, and the modifications in the servers have been evaluated through the rest. Finally, it has been proved that all processes inside the terminal were strongly dependent. The study shows that the solution should consider the decreasing simultaneously the time of service in the access gate and in the yard. (C) 2014 The Authors. Published by Elsevier Ltd.</t>
  </si>
  <si>
    <t>10.1016/j.sbspro.2014.12.175</t>
  </si>
  <si>
    <t>XI CONGRESO DE INGENIERIA DEL TRANSPORTE (CIT 2014)</t>
  </si>
  <si>
    <t>Simulating the landside congestion in a container terminal. The experience of the port of Naples (Italy)</t>
  </si>
  <si>
    <t>REF_576</t>
  </si>
  <si>
    <t>Intelligent logistical systems are crucial for adapting to technological advancements and global supply chains, particularly at seaports. Automation can maximize port efficiency and adapt to changing circumstances, but port digitalisation is challenging due to the various parties and information flows involved. The port of Sines in Portugal is undergoing a digital transformation, specifically about the Smart Gate concept. The port administration and partners have developed a pre-gate, which is being examined for operations, technologies, and information models. This work uses simulation to analyse the pre-gate model dynamically. The discrete-event simulation model, using Anylogic software (version 8.9.0), forecasts possible problems and predicts pre-gate behaviour, facilitating ongoing enhancement of pre-gate procedures. The considered scenarios vary in two factors: the processing time at the bottleneck process and the number of active lanes at the same point. Four of the twenty tested alternatives were identified as balanced. Results allow drawing conclusions on the number of lanes to be open to prevent congestion, particularly when processing times increase. The study highlights the benefits of simulating complex systems to improve operations. Future work could involve adjusting parameters, incorporating advanced optimisation techniques, and expanding evaluated metrics. The ultimate goal is to develop a reliable digital twin for the port.</t>
  </si>
  <si>
    <t>10.3390/su17010153</t>
  </si>
  <si>
    <t>A Simulation Tool to Forecast the Behaviour of a New Smart Pre-Gate at the Sines Container Terminal</t>
  </si>
  <si>
    <t>REF_575</t>
  </si>
  <si>
    <t>Most container terminals in the world today are operating up to their capacities. In this paper, we have developed a decision support system to optimise yard operations by considering all container flows (import, export and transshipment) through the yard with the view to improving terminal performance and efficiency. In another paper, we proposed an optimization model that determines optimal container locations and straddle carrier (SC) movements with the objective of minimizing the overall storage and handling cost of containers. In this paper, a discrete event simulation tool for container terminal operations has been developed with three objectives: (i) to validate the operational plan resulting from the optimization model; (ii) to test the robustness of possible deployment policies for straddle carriers; and (iii) to analyse yard resource requirements for future terminal expansion. The model has been applied to the largest container terminal in Greece-the Port of Piraeus-and computational results are reported for the case study.</t>
  </si>
  <si>
    <t>10.1080/03088830903056991</t>
  </si>
  <si>
    <t>Evaluating straddle carrier deployment policies: a simulation study for the Piraeus container terminal</t>
  </si>
  <si>
    <t>REF_574</t>
  </si>
  <si>
    <t>The storage areas from maritime container terminals have the role to allow the transfer of containers from maritime ships to inland transport and vice versa or from a maritime ship to another. The number of slots in storage area must be higher enough to not restrict the activity in terminal. In the case of containers loaded with dangerous goods, specifically rules must be applied in accordance with international maritime laws. Applying the security policies will enforce special conditions for storage of containers along with other containers or in a dedicated area for containers loaded with dangerous goods. All these measures lead to a limitation of the storage capacity inside the terminal. In the paper, the authors studying the influence of storage area design, in accordance with handling and storage restrictions of containers loaded with dangerous goods, on container terminal capacity. Taking into consideration the multi-flows interaction and the non-uniform arrivals of vessels and inland vehicles, discrete event simulation stands as a feasible technique for investigate terminal capacity for different organizational schemes of the storage area. The activities conducted inside of container terminal are represented using a logical model and implemented in ARENA software. A simulation model is developed and used to evaluate the variation of terminal activity's parameters. A set of input scenarios are developed to analyse and identify how to organize the activity in the terminal, namely how to segregate the containers within the storage area. The estimation of the general parameters of activity performance obtained through computer simulation helps the container terminal administration to choose an optimal use of storage area.</t>
  </si>
  <si>
    <t>10.1088/1757-899X/400/8/082017</t>
  </si>
  <si>
    <t>MODTECH INTERNATIONAL CONFERENCE - MODERN TECHNOLOGIES IN INDUSTRIAL ENGINEERING VI (MODTECH 2018)</t>
  </si>
  <si>
    <t>The influence of storage area design on maritime container terminal capacity</t>
  </si>
  <si>
    <t>REF_573</t>
  </si>
  <si>
    <t>Marine terminal operations are complex, and evaluating changes is best done using a simulation tool that captures the dynamics and interactions of the system. We have developed a flexible and robust discrete-event simulation of a marine terminal that handles liquid cargo. We used this simulation to investigate proposed changes generated by a Six Sigma project to reduce congestion at the terminal. Our Study provided quantitative data to base decisions on the expected operational and financial impact of the proposed changes. The simulation captured the important details of the system and increased the Six Sigma team's confidence in their recommendations. The modular architecture of the simulation allows for easy application of the simulation to different terminal simply by changing a few data tables. The structure of the simulation makes it easy for non-modelers to use the tool to perform continuing studies.</t>
  </si>
  <si>
    <t>10.1109/WSC.2005.1574480</t>
  </si>
  <si>
    <t>Proceedings of the 2005 Winter Simulation Conference, Vols 1-4</t>
  </si>
  <si>
    <t>Evaluating proposed capital and operational improvements at a marine terminal</t>
  </si>
  <si>
    <t>REF_572</t>
  </si>
  <si>
    <t>Long queues at gates is a common problem in container terminals, which embarrasses the urban traffic. In order to solve this issue, we should first develop an accurate model to estimate truck queue length. To this end, a model based on a non-stationary M(t)/ Ek/c(t) queuing system is set to study the gate system. In this paper, we propose a queue length estimation model using the point-wise stationary fluid flow approximation. Numerical experiments are carried out to show some of the characteristics of marine terminal gate congestion and to quantify truck waiting. Simulation results showed that the proposed estimation model provides a quite accurate estimation of the truck queue length.</t>
  </si>
  <si>
    <t>2018 IEEE INTERNATIONAL CONFERENCE ON TECHNOLOGY MANAGEMENT, OPERATIONS AND DECISIONS (ICTMOD)</t>
  </si>
  <si>
    <t>Modeling vehicle queues at a marine container terminal using non-stationary queuing approach</t>
  </si>
  <si>
    <t>REF_571</t>
  </si>
  <si>
    <t>Tractor-trailer units are the primary horizontal transport medium between the ship and the stacking area in container ports, and their efficient operation has a strong influence on loading and unloading rates. This paper presents a comparative study of the vessel loading and unloading procedure at the Port of Durban for conventional tractor-trailer units versus short multi-trailer systems. A discrete event simulation approach was used to model the terminal's operations using the two types of vehicles, and to analyse the effect on the terminal's performance and operating costs. The results of the study showed that the current fleet of tractor-trailer units can be replaced by a fleet of multi-trailer systems capable of carrying four twenty-foot equivalent units (TEUs) each, resulting in equivalent quay crane productivity while reducing the terminal's operating cost per shift for the horizontal transport subsystem.</t>
  </si>
  <si>
    <t>10.7166/28-4-1771</t>
  </si>
  <si>
    <t>SOUTH AFRICAN JOURNAL OF INDUSTRIAL ENGINEERING</t>
  </si>
  <si>
    <t>THE EFFECT OF MULTI-TRAILER SYSTEMS ON THE EFFICIENCY OF CONTAINER MOVEMENTS BETWEEN THE SHIP AND THE STACKS AT THE DURBAN CONTAINER TERMINAL</t>
  </si>
  <si>
    <t>REF_570</t>
  </si>
  <si>
    <t>The paper discusses the key issues of the application of modelling and simulation for management of the Riga Harbour Container Terminal (RHCT), which have been explored within the concerted action project, Application of Modern Concepts in the Automated Information Management in Harbours by Using Advanced IT-Solutions. The project was financed by the European Commission in 1995-1997 under the COPERNICUS-1994 Programme. It was aimed at improving logistics processes at RHCT, the largest container terminal on the Baltic Sea, playing an important role in the transit transport chain between western European countries and eastern countries of the former Soviet Union (Russia, Belorussia, Ukraine, etc.). The problems considered and approaches to solve them are not unique for RHCT, but are typical for growing harbours. Therefore, the results obtained could be used as a guideline for solving analogous problems at other harbours.</t>
  </si>
  <si>
    <t>10.1177/003754979807100203</t>
  </si>
  <si>
    <t>SIMULATION</t>
  </si>
  <si>
    <t>A modelling and simulation methodology for managing the Riga Harbour Container Terminal</t>
  </si>
  <si>
    <t>REF_569</t>
  </si>
  <si>
    <t>In this article, a methodology as well as a decision support system for the container storage assignment at a yard of a container terminal is proposed. The motivation of the proposed methodology are the cases of container terminals where inland flows present high levels of uncertainty and variability. This situation is typical of ports in developing countries such as is the case in Latin America where due to lack of automation, there are many paper-based procedures and little coordination with the hinterland. The proposed methodology is based on a dwell time segregated storage policy, considering only import containers (due to the difficulty to determine segregation criteria for this type of containers). Dwell times are discretized in order to determine dwell time classes or segregations, so that containers of the same segregation are assigned to close locations at the yard. As a case study, the port of Arica in Chile is considered. A discrete-event simulation model is also proposed to estimate potential benefits of the proposed methodology. Numerical results for the case study show a good performance, with potential reduction of the rehandles incurred.</t>
  </si>
  <si>
    <t>10.5220/0006193001280139</t>
  </si>
  <si>
    <t>PROCEEDINGS OF THE 6TH INTERNATIONAL CONFERENCE ON OPERATIONS RESEARCH AND ENTERPRISE SYSTEMS (ICORES)</t>
  </si>
  <si>
    <t>A Dwell Time-based Container Positioning Decision Support System at a Port Terminal</t>
  </si>
  <si>
    <t>REF_568</t>
  </si>
  <si>
    <t>Productivity is an extremely important factor in the competitiveness of a container terminal. Productivity itself is largely influenced by the handling mechanisation, the main task of which is to serve the quay cranes on one side and the yard cranes on the other. One of the most effective types of mechanisation in this segment is shuttle carriers, which are used primarily in the larger terminals. The objective of this study was to determine if they can also be used effectively in smaller container terminals with different yard layouts. Therefore, this study shows the impact of the selected layout and handling mechanisation on terminal productivity. The focus is on the berth productivity, as it has the greatest impact on the handling of the vessel in the port. To this end, a discrete-event simulation modelling approach was used in a container terminal of small capacity. The performed simulations included all operations between berth and yard, focusing on the correct allocation of shuttle carriers to ensure optimal results on the sea side of the terminal. The result showed that the use of shuttle carriers brings a substantial performance effect to the container terminal and also has a different effect considering different terminal layouts in terminals with an annual throughput not exceeding 1 million TEU.</t>
  </si>
  <si>
    <t>10.3390/jmse11020449</t>
  </si>
  <si>
    <t>JOURNAL OF MARINE SCIENCE AND ENGINEERING</t>
  </si>
  <si>
    <t>Efficiency Evaluation of a Small Container Terminal with Perpendicular Yard Layout Using Shuttle Carriers</t>
  </si>
  <si>
    <t>REF_567</t>
  </si>
  <si>
    <t>This paper analyzes the performance of a complex maritime intermodal container terminal. The aim is to propose changes in the system resources or in handling procedures that guarantee better performance in perturbed conditions. A discrete-event system simulation study shows that, in future conditions of increased traffic volumes and reduced available stacking space, more internal transport vehicles, or appropriate scheduling and routing policies, or an increased degree of automation would improve the performance.</t>
  </si>
  <si>
    <t>ICINCO 2008: PROCEEDINGS OF THE FIFTH INTERNATIONAL CONFERENCE ON INFORMATICS IN CONTROL, AUTOMATION AND ROBOTICS, VOL SPSMC: SIGNAL PROCESSING, SYSTEMS MODELING AND CONTROL</t>
  </si>
  <si>
    <t>Discrete-event simulation of a complex intermodal container terminal - A case-study of standard unloading/loading processes of vessel ships</t>
  </si>
  <si>
    <t>REF_566</t>
  </si>
  <si>
    <t>The scale of parking lot has a significant impact on the efficiency of the entire of the roll-on/roll-off terminal (RORO terminal). To determine the scale of parking lot, the theory of urban planning is used. However, the characteristics of traffic in a RORO terminal is different from the urban area. Therefore, this paper proposed a simulation model to simulate the vehicles in and out of a RORO terminal with Arena software. The application shows that the proposed simulation model is an effective tool to determine the scale of parking lot in a RORO terminal.</t>
  </si>
  <si>
    <t>PROCEEDINGS OF THE 2015 INTERNATIONAL CONFERENCE ON ELECTRICAL, AUTOMATION AND MECHANICAL ENGINEERING (EAME 2015)</t>
  </si>
  <si>
    <t>Simulation and Modelling of Roll-on/roll-off Terminal Operation</t>
  </si>
  <si>
    <t>REF_565</t>
  </si>
  <si>
    <t>A discrete even simulation is developed for the first container terminal of Hamad's new port of Qatar which is anticipated to start its operations by the end of 2016. The model is based on the operational knowledge of experts from the current port of Doha and Qatar's port authority (Mwani). The challenge in this paper is validating a simulation for a system that has not started its operation. Nonetheless, data and configuration of the current port has been utilized to partially validate the output of the simulation. The preliminary analysis shows promising results and indicate the validity of the model.</t>
  </si>
  <si>
    <t>2016 WINTER SIMULATION CONFERENCE (WSC)</t>
  </si>
  <si>
    <t>A DISCRETE EVENT SIMULATION FOR THE LOGISTICS OF HAMAD'S CONTAINER TERMINAL OF QATAR</t>
  </si>
  <si>
    <t>REF_564</t>
  </si>
  <si>
    <t>Due to numerous uncertainties such as bad weather conditions, frequent changes in the schedules of vessels, breakdowns of equipment, port managers are aiming at providing adaptive and flexible strategic planning of their facilities, especially intermodal terminals. In this research, we investigate a two-stage optimization of intermodal terminals main parameters via using AnyLogic simulation platform. We have developed a set of hybrid simulation models to optimize the main parameters of intermodal terminals which are also called dry ports. To make an express evaluation of the preliminary implementation of dry ports, we have developed an agent-based system dynamics simulation model to achieve the stable state of the main parameters of intermodal terminals. To clarify the obtained averaged benefits of the main dry ports parameters while the port managers make key decisions on the investments into implementation of intermodal terminals, we have developed an agent-based discrete-event simulation model of a seaport - a dry port system. We show that the combination of the agent-based modeling with other simulation approaches simplifies the process of designing simulation models and increases their visibility. The developed set of models allows us to compute the balanced values of the parameters, while an effective operation of a seaport - intermodal terminal system is achieved. On the basis of the provided case study on one of the busiest ports in China, we prove the adequacy and validity of the developed simulation models. Due to the lack of systematic approach to optimization of the main parameters of intermodal terminals in logistic industry, our findings set herein could improve the decision-making process related to the selection of strategic facility planning in the field of intermodal terminals.</t>
  </si>
  <si>
    <t>10.1016/j.ijinfomgt.2020.102133</t>
  </si>
  <si>
    <t>INTERNATIONAL JOURNAL OF INFORMATION MANAGEMENT</t>
  </si>
  <si>
    <t>Multi-agent optimization of the intermodal terminal main parameters by using AnyLogic simulation platform: Case study on the Ningbo-Zhoushan Port</t>
  </si>
  <si>
    <t>REF_563</t>
  </si>
  <si>
    <t>Container stacking and reshuffling are important issues in the management of operations in a container terminal. Minimizing the number of reshuffles can increase productivity of the yard cranes and the efficiency of the terminal. In this research, the authors improve the existing static reshuffling model, develop five effective heuristics, and analyze the performance of these algorithms. A discrete-event simulation model is developed to animate the stacking, retrieving, and reshuffling operations and to test the performance of the proposed heuristics and their extended versions in a dynamic environment with arrivals and retrievals of containers. The experimental results for the static problem show that the improved model can solve the reshuffling problem more quickly than the existing model and the proposed extended heuristics are superior to the existing ones. The experimental results for the dynamic problem show that the results of the extended versions of the five proposed heuristics are superior or similar to the best results of the existing heuristics and consume very little time.</t>
  </si>
  <si>
    <t>10.1080/0740817X.2014.971201</t>
  </si>
  <si>
    <t>IIE TRANSACTIONS</t>
  </si>
  <si>
    <t>Research into container reshuffling and stacking problems in container terminal yards</t>
  </si>
  <si>
    <t>REF_562</t>
  </si>
  <si>
    <t>Development of a container terminal (CT) closely deals with the efficiency of operating systems. This paper proposed a model to decide optimum investment alternatives to improve CT productivity. The proposed approach incorporates the parameters such as number of quay cranes, total length of a quay, yard trucks and yard cranes. The objectives of the model are minimizing the average ship turnaround time while maximizing the container throughput generated by the terminal. The methodology behind the model includes Discrete Event Simulation Model, data envelopment analysis (DEA) and cost-efficiency analysis. Considering container ship visits to Container Terminal Alpha (CT-A), the proposed model is demonstrated with 16 different investment scenario along with 10-months recorded operational data. The results addressed the Scenario LENG-2 (extent current total length of quays from 1.560 meters to 2.000 meters) as the optimal feasible solution for an investment in existing conditions. The model is also considered to besides contributions to investment decisions in CT, the developed framework might be extended to other transportation infrastructures.</t>
  </si>
  <si>
    <t>10.1080/03088839.2018.1481544</t>
  </si>
  <si>
    <t>A simulation model proposal to improve the productivity of container terminal operations through investment alternatives</t>
  </si>
  <si>
    <t>REF_561</t>
  </si>
  <si>
    <t>Most of the existing contributions for container terminal analysis follow approaches based on optimization models, that are mainly useful to support strategic decisions about terminal container configuration. Many others contributions follow the simulation approach, which allows a detailed analysis but may lead to computational problems and is rather computer demanding, especially when resulting models are used to support optimization. This paper investigated the prediction reliability of two different approaches to container terminal simulation: microscopic and macroscopic. The former simulating single container movement, the latter simulating container flows movement. The microscopic model was a discrete event simulation model; the macroscopic model was a dynamic discrete time based (space-time) network assignment model. Both modelling approaches were implemented and compared taking advantage of some significant investment made by the Salerno Container Terminal (Italy) between 2005 and 2011. In particular, disaggregate (microscopic) and an aggregate (macroscopic) simulation models implemented in 2005 were validated with a large set of data acquired in 2011 after some structural and functional terminal modifications. Through this analysis it was possible to analyze the prediction reliability of both simulation approaches and to draw some operational guidelines.</t>
  </si>
  <si>
    <t>10.1109/EUROSIM.2013.86</t>
  </si>
  <si>
    <t>2013 8TH EUROSIM CONGRESS ON MODELLING AND SIMULATION (EUROSIM)</t>
  </si>
  <si>
    <t>Simulating Container Terminal Performances: Microscopic vs. Macroscopic Modelling Approaches</t>
  </si>
  <si>
    <t>REF_560</t>
  </si>
  <si>
    <t>The aim of this paper is to carry out the pre-dimensioning of a new container terminal with an empiric method and, subsequently, develop a simulation model of the same terminal using a discrete event simulation software and perform the simulation of its operations. The comprehensive model includes the appropriate accesses by road and rail as well as a container freight station. The model is used to study the flows of cargo and equipment along the container terminal, identifying bottlenecks in specific areas and is applied to the study of a new container terminal in the Port of Leixoes. This terminal has a design capacity for 600.000 TEU and the land area available is scarce, so the aim of the study is to validate the method used for the pre-dimensioning, as well as determining by simulation any possible bottlenecks in layout and equipment. The application of simulation has indicated that this terminal, with some conditions, may be able to move the required number of TEUs while keeping within reasonable levels of utilization.</t>
  </si>
  <si>
    <t>PROGRESS IN MARITIME TECHNOLOGY AND ENGINEERING</t>
  </si>
  <si>
    <t>Analysis of a new container terminal using a simulation approach</t>
  </si>
  <si>
    <t>REF_559</t>
  </si>
  <si>
    <t>The decarbonization and automation of port operations are emerging as key strategies to enhance the sustainability and efficiency of maritime logistics. This study proposes a simulation-based framework to assess the operational and environmental impacts of transitioning from traditional Internal Combustion Engine (ICE) tractors to Battery Electric Tractors (BET) and Automated Electric Guided Tractors (e-AGT) in Roll-on/Roll-off (Ro-Ro) port terminal operations. The proposed framework is applied to simulate a full vessel turnaround at the Ro-Ro terminal of the Port of Ravenna (Italy). A set of Key Performance Indicators (KPIs) is defined to evaluate turnaround time, vehicle productivity, energy consumption and CO2 emissions across three scenarios. The results indicate that both BET and e-AGT configurations significantly reduce emissions compared to ICE, with reductions up to 40%. However, the e-AGT scenario reveals operational drawbacks, including increased unloading time and reduced fleet availability due to charging constraints and routing limitations. These findings highlight the environmental potential of automation and electrification but also emphasize the need for integrated planning of fleet size, charging infrastructure and circulation specifications. The proposed framework provides a replicable decision-support tool for port authorities and logistics operators to evaluate alternative handling technologies under realistic conditions.</t>
  </si>
  <si>
    <t>10.3390/futuretransp5030121</t>
  </si>
  <si>
    <t>FUTURE TRANSPORTATION</t>
  </si>
  <si>
    <t>Towards Green and Smart Ro-Ro Port Terminal Operations: A Comparative Analysis of ICE, BET and e-AGT Tractors</t>
  </si>
  <si>
    <t>Brazil is one of the world's leading iron ore exporters, producing millions of tons annually. To transport ore, the country has specialized port terminals and logistical infrastructure designed specifically for export. The improvement of such systems remains a challenge and attracts substantial investment, generating a great synergy between companies and universities in the search for solutions. In this context, we present a case study involving a Brazilian terminal designed to handle iron ore, which must now import coal as well. The objective, therefore, is to analyze the effects of this new operation on the system's performance indicators. To evaluate and compare different scenarios, a discrete-event computational simulation model was built using the software Simul8. The results show that the new operation is viable, maintaining an 89% service level when handling three millions of tons per year of coal.</t>
  </si>
  <si>
    <t>2019 WINTER SIMULATION CONFERENCE (WSC)</t>
  </si>
  <si>
    <t>ESTIMATING THE EFFECT OF PRODUCT VARIETY AT A BRAZILIAN BULK TERMINAL</t>
  </si>
  <si>
    <t>REF_557</t>
  </si>
  <si>
    <t>A decision support system for management of an intermodal container terminal is presented. Among problems to be solved are the spatial allocation of containers in the terminal yard, the allocation of resources, and the scheduling of operations to maximise a performance function based on economic indicators. These problems are solved using techniques from optimisation, such as job-shop scheduling, genetic algorithms or mixed-integer linear programming. At the terminal, the same problems are usually solved by the terminal manager, using only his experience. The manager can trust computer-generated solutions only by validating them by means of a simulation model of the terminal. Thus, the simulation tool also becomes a means to introduce new approaches into traditional settings. We focus on the resource allocation problem and describe our modules for optimisation of the allocation process and the simulation of the terminal. The former is based on integer linear programming; the latter is a discrete-event simulation tool based on the process-oriented paradigm. The simulator provides a testbed for checking the validity and robustness of the policy computed by the optimisation module.</t>
  </si>
  <si>
    <t>10.1177/003754979807100205</t>
  </si>
  <si>
    <t>Simulation and planning of an intermodal container terminal</t>
  </si>
  <si>
    <t>REF_556</t>
  </si>
  <si>
    <t>Given the growth in ship size and increasing demands, it is essential for seaport container terminals to make well-founded tactical and operational decisions. Here, horizontal transport is an important element of container terminals, connecting seaside handling with container storage. An efficient design of horizontal transport, especially the assignment of vehicles to orders, strongly influences the terminal performance. Most existing scientific studies vary only individual parameters or dispatching strategies neglecting different terminal targets. This study approaches this research gap. In a discrete-event simulation model, the influence of various terminal parameters on dispatching strategies is examined, taking into account the terminal targets. The two most influencing terminal parameters, terminal size and yard block assignment to containers, are analyzed in detail. The results show that the best choice of yard block assignment and dispatching method for a given terminal size depends on the combination of both parameters and the aspired targets.</t>
  </si>
  <si>
    <t>10.1109/WSC48552.2020.9384062</t>
  </si>
  <si>
    <t>2020 WINTER SIMULATION CONFERENCE (WSC)</t>
  </si>
  <si>
    <t>EFFECTS OF TERMINAL SIZE, YARD BLOCK ASSIGNMENT, AND DISPATCHING METHODS ON CONTAINER TERMINAL PERFORMANCE</t>
  </si>
  <si>
    <t>REF_555</t>
  </si>
  <si>
    <t>Container unloading/loading at marine container terminals (MCTs) is a key logistic process, to which some research efforts have been addressed by using mathematical programming models formulated in a deterministic-static environment. Vice versa, DES models in a stochastic-dynamic environment are well capable of representing the entire process. Hence, simulation results to be an effective planning and control tool for decision making at all decisional levels. Here we remark that optimal decisions in MCTs may be practically pursued by modelling the whole MCT and focusing attention on the core logistic processes, while representing in a simplified manner the remainder. We focus on the operational management of the cranes deployed along the quay, during the container unloading/loading process at a given number of vessels according to a previously planned berth-schedule. We suggest a two-phase approach to the quay crane deployment problem: in the first phase an IP model is used to decide when and how many cranes must be assigned to each vessel; afterwards, we propose a heuristics to determine which specific crane should be assigned to a vessel. We indicate how this approach can be successfully integrated in a DES model, already available, to support dynamic assignment of cranes to berthed vessels.</t>
  </si>
  <si>
    <t>22ND EUROPEAN CONFERENCE ON MODELLING AND SIMULATION, PROCEEDINGS</t>
  </si>
  <si>
    <t>THE QUAY CRANE DEPLOYMENT PROBLEM AT A MARITIME CONTAINER TERMINAL</t>
  </si>
  <si>
    <t>REF_554</t>
  </si>
  <si>
    <t>Optimal planning of a container terminal is a strategic measure to ensure its operation efficiency that is the key concern of intermodal chains' organization. To support the strategic planning of small and medium European ports in nowadays competition environments, the TRAPIST suite, a set of comprehensive and easy-to-use tools, was developed. This paper will introduce the developments of its simulation component - Terminal Simulation System (TSS). Conforming to the suite's technical specifications, the TSSs architecture was introduced to highlight the framework for the constructional modules, the operational shell, the interfaces, and the system indicators. Basing on the discrete-event simulation theories and methods, as well as the characteristics of the simulation shell, the process-oriented programming method was utilized in modules' developments. Following the validations of TSS, an example case will be illustrated to show the values of its applications.</t>
  </si>
  <si>
    <t>Simulation of container terminal's operations</t>
  </si>
  <si>
    <t>REF_553</t>
  </si>
  <si>
    <t>Increasing the container volume and the lack of land acquisition for terminal development is a problem encountered by container terminal operators in Indonesia in the last years. To maintain the high demand on terminal service, the operator uses Inland Container Depots (ICD) as one of the fastest and cheapest solutions with some limitations compared to port expansion. Capacity and location are issues that should be addressed when ICD is used as one of the capacity-solving problems. ICD operation will increase the ability of the terminal services, yet the connecting roads that are also used by non-container traffic will affect the transfer operation of containers from the terminal to ICD. The container movement from the terminal to ICD is determined by the value of Yard Occupancy Ratio (YOR). The method that integrates the decision of transferring containers from the terminal and selecting ICD locations is required to cope with this issue. Differences in cycle time equilibrium of terminal operations and connecting roads complicate the construction of analytical equations. Discrete Event Simulation is used to accommodate the difference of operating time cycle, a stochastic condition of arrival, service time, an integration of terminal operation process and ICD location selection. The case study of Koja Container Terminal was used to perform experimental test of the proposed method. The simulation model was constructed for one month of simulation. Level of demand and ICD capacity were factors to be tested in the model to calculate the effects of ICDs operation on the container terminal. Optimum Terminal - ICD configuration was chosen by maximizing the container cost difference of without and with ICDs. Total container cost consists of the container handling cost (discharge, transfer, lift on, lift off, custom check and storage costs) and the container time cost (waiting time and potentially demand unserved). Since the addition amount of ICDs will increase the handling cost and decrease the time cost, so, there are appropriate ICDs numbers for a certain level of demand. Experimental result of Koja container terminal showed that the optimum amount of ICDs will decrease the total container cost charged to the users for the demand level above the terminal capacity. Terminal throughput will increase but the dwell time will not reduce significantly. The optimum configuration for the condition is Terminal - ICD (Yos Sudarso) and ICD (LLRE Martadinata). Optimization based on Discrete Event Simulation can be used to obtain the optimum configuration of ICD terminal system at certain demand level and to measure the ICD effect on terminal performance, ICD and Connecting Road. Operation of the ICD will decrease the container cost but will not provide significant dwell time for terminal improvements.</t>
  </si>
  <si>
    <t>10.1063/1.5042894</t>
  </si>
  <si>
    <t>HUMAN-DEDICATED SUSTAINABLE PRODUCT AND PROCESS DESIGN: MATERIALS, RESOURCES, AND ENERGY</t>
  </si>
  <si>
    <t>Inland Container Depots Effect for Import Container Terminal Performance at Koja Container Terminal, Jakarta based on Optimization-Simulation Model</t>
  </si>
  <si>
    <t>REF_552</t>
  </si>
  <si>
    <t>In this paper we present a discrete event simulation model of a cruise terminal for decision support and strategic planning. The main objective is to provide an analysis tool for systems with high capacity constraints, heterogeneous subsystems, time-dependent demand and stochastic passenger transfer and travel times. Cruise terminals are connected by bus to a transport interchange or intermobility center where passengers are transferred to taxis. All terminals are affected by capacity constraints such as the number of bus platforms for passenger pick-up and drop-off and the limited queuing capacity for taxis and passengers. Passenger arrivals are time-dependent and cruise-type-dependent. The purpose of this model is to support the strategic decision-making process through what-if-scenarios. Decisions involve determining the required number of bus platforms, taxi buffer sizes and passenger distribution policies, among other factors. The results identified and proposed the solution of bottlenecks and enabled a sensitivity analysis to be performed.</t>
  </si>
  <si>
    <t>2018 WINTER SIMULATION CONFERENCE (WSC)</t>
  </si>
  <si>
    <t>MODELLING AND ANALYSIS OF INTERMODAL PASSENGER OPERATIONS IN A CRUISE TERMINAL</t>
  </si>
  <si>
    <t>REF_551</t>
  </si>
  <si>
    <t>Port terminals consist of two interfaces for transferring cargo among transport modes: (1) the seaside or quayside interface and (2) the landside interface. At the seaside interface, cargo is loaded and unloaded from the vessels and stored temporarily at the yard. Landside operations consist of receiving and dispatching cargo from external trucks and rail. The increasing volumes of international trade are demanding more efficient cargo handling throughout the port logistic chain and coordination with the hinterland, hence attracting more attention from both practitioners and researchers on the landside interface of ports. Due to the high variability of truck arrivals with a significant concentration at peak hours, congestion at the access gates of ports and an unbalanced utilization of the resources occur. Truck appointment systems (TAS) have already been implemented in some ports as a coordination mechanism to reduce congestion at ports, balance demand and capacity, and reduce truck turnaround times. Based on the current situation faced by the Port of Arica, Chile, this paper aims to analyze potential configurations of a TAS and evaluate its impacts on yard operations, specifically in the reduction of container rehandles, as well as truck turnaround times. For this, a discrete-event simulation model and a heuristic procedure are proposed and experimentation is performed using historical data from the port terminal. Results indicate that implementing a TAS may significantly benefit yard operations in terms of reducing container rehandles as well as truck waiting times.</t>
  </si>
  <si>
    <t>10.1007/s10479-016-2384-0</t>
  </si>
  <si>
    <t>Impact on yard efficiency of a truck appointment system for a port terminal</t>
  </si>
  <si>
    <t>REF_550</t>
  </si>
  <si>
    <t>To address the efficiency and safety challenges arising from the mixed operation of autonomous and human-driven container trucks during the automation transformation of traditional container terminals, this study designed a simulation-based optimization framework for mixed vehicle scheduling. A spatio-temporal graph dynamic scheduling model was constructed, incorporating node capacity, arc capacity, and path constraints, to establish a multi-objective optimization model aimed at minimizing the maximum completion time of internal trucks and the average waiting time of external trucks. An improved NSGA-II algorithm was employed to generate task assignment solutions, which were evaluated using discrete-event simulation, integrating a dynamic programming-based yard block selection strategy for external trucks and a congestion-aware path planning algorithm. Experimental results demonstrate that the dynamic priority strategy effectively adapts to different traffic flow scenarios: under low external truck flow, the autonomous internal truck priority strategy reduces task completion time by 18% to 25%, while under high flow, the external truck priority strategy significantly decreases the average waiting time. The optimal configuration ratio between internal and external trucks was identified as approximately 1:2. This research provides a theoretical basis and decision support for enhancing terminal operational efficiency and automation transformation.</t>
  </si>
  <si>
    <t>10.3390/jmse13122299</t>
  </si>
  <si>
    <t>A Simulation-Based Optimization Framework for Collaborative Scheduling of Autonomous and Human-Driven Trucks in Mixed-Traffic Container Terminal Environments</t>
  </si>
  <si>
    <t>REF_549</t>
  </si>
  <si>
    <t>An approach to the problem of deciding which equipment and manpower must be allocated over a sequence of work shifts is presented. Once these resources are given, a feasible and near-optimal sequence of operations to load and unload a set of ships harboured in an Intermodal Container Terminal is found. The solution of the resource allocation problem is based on a network design formulation that assumes that the loading and unloading processes can be modelled as a network of container flows between the skips and the terminal yard for all the work shifts. The solution of the scheduling problem is thus fundamental to ensure that these flows are sustained in each work shift, by detailing for each container, the path to follow from its origin to its destination. A discrete-event simulation model with a resolution down to the single container unit is used to validate the resource allocation and the scheduling policies.</t>
  </si>
  <si>
    <t>ESS'98 - SIMULATION TECHNOLOGY: SCIENCE AND ART</t>
  </si>
  <si>
    <t>Resource allocation and scheduling of operations in an intermodal terminal</t>
  </si>
  <si>
    <t>REF_548</t>
  </si>
  <si>
    <t>The complex logistic process of vessel berthing followed by container discharge/loading, at maritime container terminals (MCTs), is focused in this paper. Discrete-event simulation models are well capable of representing the entire process in a stochastic, dynamic environment. Hence, simulation results to be an effective planning and control tool for decision making and evaluation. The assignment of quay cranes to berthed vessels and their deployment along the berth represent crucial decisions that could be well supported by integer programming (IP) models. Usually, these models are used as standalone tools. Starting from a discrete-event simulator for the berth planning, previously developed for a real maritime container terminal, we propose two IP models that can be embodied within the simulator to verify whether or not the weekly plan of the berth schedule produced by the simulator itself is feasible with respect to the available quay cranes. If not, the manager would be asked to repeat the berth planning step by rerunning simulation. The goodness of the proposed IP formulations is established by a numerical comparison against a test case taken from literature.</t>
  </si>
  <si>
    <t>HMS 2008: 10TH INTERNATIONAL WORKSHOP ON HARBOR MARITIME MULTIMODAL LOGISTICS MODELING &amp; SIMULATION</t>
  </si>
  <si>
    <t>ASSIGNMENT AND DEPLOYMENT OF QUAY CRANES AT A MARITIME CONTAINER TERMINAL</t>
  </si>
  <si>
    <t>REF_547</t>
  </si>
  <si>
    <t>Increasing container traffic and land acquisition problem for terminal expansion leads to usage of external yard in a port buffer area. This condition influenced the terminal performance because a road which connects the terminal and the external yard was also used by non-container traffic. Location choice problem considered to solve this condition, but the previous research has not taken account a stochastic condition of container arrival rate and service time yet. Bi-level programming framework was used to find optimum location configuration. In the lower-level, there was a problem to construct the equation, which correlated the terminal operation and the road due to different time cycle equilibrium. Container moves from the quay to a terminal gate in a daily unit of time, meanwhile, it moves from the terminal gate to the external yard through the road in a minute unit of time. If the equation formulated in hourly unit equilibrium, it cannot catch up the container movement characteristics in the terminal. Meanwhile, if the equation formulated in daily unit equilibrium, it cannot catch up the road traffic movement characteristics in the road. This problem can be addressed using simulation model. Discrete Event Simulation Model was used to simulate import container flow processes in the container terminal and external yard. Optimum location configuration in the upper-level was the combinatorial problem, which was solved by Full Enumeration approach. The objective function of the external yard location model was to minimize user transport cost (or time) and to maximize operator benefit. Numerical experiment was run for the scenario assumption of two container handling ways, three external yards, and thirty-day simulation periods. Jakarta International Container Terminal (JICT) container characteristics data was referred for the simulation. Based on five runs which were 5, 10, 15, 20, and 30 repetitions, operation one of three available external yards (external yard - 3) was the optimum result. Apparently, the model confirmed the hypothesis that there was an optimum configuration of the external yard. Nevertheless, the model needs detail elaboration related to the objective function and the optimization constraint. It requires detail validation, in term of service time value, distribution pattern, and arrival rate in each unit server modeled in the next step of the research. The model gave unique and relatively consistent value of each run. It was indicated that the method has a chance to solve the research problem.</t>
  </si>
  <si>
    <t>10.1063/1.4985510</t>
  </si>
  <si>
    <t>GREEN PROCESS, MATERIAL, AND ENERGY: A SUSTAINABLE SOLUTION FOR CLIMATE CHANGE</t>
  </si>
  <si>
    <t>Discrete Event Simulation Model for External Yard Choice of Import Container Terminal in a Port Buffer Area</t>
  </si>
  <si>
    <t>REF_546</t>
  </si>
  <si>
    <t>The present study addresses the analysis of bulk carrier loading and discharge at the RUSAL Aughinish Alumina refinery, located on the west coast of the Republic of Ireland. We design a realistic simulation model taking into account not only deterministic features, but also elements of uncertainty. Following a statistical analysis of the results, we are able to indicate how the most important variables affect large scale performance descriptors such as berth occupancy, queueing hours and costs. The model is thoroughly validated against historical data and is subsequently applied to determine the impact of changes in key parameters on overall port operation and to suggest possible improvements of the modelled system. (C) 2014 Elsevier B.V. All rights reserved.</t>
  </si>
  <si>
    <t>10.1016/j.simpat.2014.11.001</t>
  </si>
  <si>
    <t>Development and analysis of a port terminal loader model at RUSAL Aughinish</t>
  </si>
  <si>
    <t>REF_545</t>
  </si>
  <si>
    <t>Empty container depot (ECD) design significantly impacts maritime terminal efficiency, yet traditional evaluation approaches assess limited operational factors, constraining comprehensive performance optimization. This study develops an integrated discrete event simulation (DES) framework that simultaneously evaluates lifting equipment utilization, truck turnaround times, and potential collisions to support terminal decision-making. This study combines operational efficiency metrics with safety analytics for non-automated ECDs using Top Lifters and Reach Stackers. Additionally, a regression analysis examines efficiency metrics' effect on safety risk. A case study at a Chilean multipurpose terminal reveals performance trade-offs between indicators under different operational scenarios, identifying substantial efficiency disparities between dry and refrigerated container operations. An analysis of four distinct collision zones with varying historical risk profiles showed the gate area had the highest potential collisions and a strong regression correlation with efficiency metrics. Similar models showed a poor fit in other conflict zones, evidencing the necessity for dedicated safety indicators complementing traditional measures. This integrated approach quantifies interdependencies between safety and efficiency metrics, helping terminal managers optimize layouts, expose traditional metric limitations, and reduce safety risks in space-constrained maritime terminals.</t>
  </si>
  <si>
    <t>10.3390/jmse13081424</t>
  </si>
  <si>
    <t>From Efficiency to Safety: A Simulation-Based Framework for Evaluating Empty-Container Terminal Layouts</t>
  </si>
  <si>
    <t>REF_544</t>
  </si>
  <si>
    <t>This paper addresses the development of a simulation model of operations in the train arrival process at Port Terminal of Ponta da Madeira, aiming to develop a simulation model to support decision making. The case study was used in this study as technical procedure, for the understanding of the theoretical concepts in a practical situation. At the end of the study, it was possible to verify that the developed model presented adherence to actual behavior of the system studied, being valid for the operationalization, as a tool to support decision making.</t>
  </si>
  <si>
    <t>10.1007/978-3-319-93488-4_11</t>
  </si>
  <si>
    <t>NEW GLOBAL PERSPECTIVES ON INDUSTRIAL ENGINEERING AND MANAGEMENT</t>
  </si>
  <si>
    <t>Modeling and Simulation of Operations: A Case Study in a Port Terminal of Vale S/A</t>
  </si>
  <si>
    <t>REF_543</t>
  </si>
  <si>
    <t>In this paper a simulation model is developed for evaluation of different berthing scenarios in Shahid Rajaee Container Terminal. Model is trying to handle Berth Allocation and Quay-Crane Assignment Problems simultaneously for more efficient solutions. Validity of developed model is examined by sensitivity analysis on model parameters and after that three berthing scenarios has been put to test in model and obtained results suggests that Length Based Allocation berthing scenario can reduce the turnaround time for vessels and also increase completed jobs by berth at a fixed time period.</t>
  </si>
  <si>
    <t>2013 WINTER SIMULATION CONFERENCE (WSC)</t>
  </si>
  <si>
    <t>EVALUATION OF DIFFERENT BERTHING SCENARIOS IN SHAHID RAJAEE CONTAINER TERMINAL USING DISCRETE-EVENT SIMULATION</t>
  </si>
  <si>
    <t>REF_542</t>
  </si>
  <si>
    <t>Emissions from idle truck engines are a main source of pollution at container terminals. In this study, we focus on reducing such emission from waiting trucks as well as the related crane operations with a new truck arrival control method that gives individual truck limited time slots for entry. We develop a method to optimize the time slot assignment for individual trucks, aiming at minimizing total emissions from trucks and cranes at import yards. The method applies discrete event simulation to estimate total truck waiting times and crane moving distance, and then applies a genetic algorithm to minimize the generated emissions from these trucks and cranes. The experiment result shows that the truck arrivals should be controlled based on the stacking of import containers, and that such control is necessary for reducing truck idling emissions at a congested container terminal.</t>
  </si>
  <si>
    <t>10.1007/s10479-014-1636-0</t>
  </si>
  <si>
    <t>A simulation-based genetic algorithm approach for reducing emissions from import container pick-up operation at container terminal</t>
  </si>
  <si>
    <t>REF_541</t>
  </si>
  <si>
    <t>With the rapid development of China's container terminals, how to make full use of the resources of container terminals through vaious management and technical means to increase the revenue of container terminals has become a subject that needs to be studied in the scale expansion and production management of container terminals. The location of distribution center plays an important strategic role in the planning and design of distribution center. To some extent, the location of distribution center affects the success or failure of distribution center operation. Container terminal is a complex dynamic system of discrete events, which has the characteristics of dynamics, randomness and asynchrony. According to the characteristics of terminal operation, the discrete event simulation theory is adopted, the simulation model is established based on the logistics operation process of container terminal, and the event-oriented simulation method is adopted to simulate the road traffic system of Tianjin Port container terminal based on simulation software. On the basis of the formal description of discrete event system (DEVS), the DEVS model of the container terminal handling system is constructed, and its simulation model is established in the eM Plant software. Taking a port as the application background, the correctness and effectiveness of the simulation model are verified.</t>
  </si>
  <si>
    <t>10.1109/IIoTBDSC57192.2022.00041</t>
  </si>
  <si>
    <t>2022 INTERNATIONAL CONFERENCE ON INDUSTRIAL IOT, BIG DATA AND SUPPLY CHAIN, IIOTBDSC</t>
  </si>
  <si>
    <t>Research on Simulation Modeling of Container Terminal Logistics System Based on WITNESS</t>
  </si>
  <si>
    <t>REF_540</t>
  </si>
  <si>
    <t>In shipping port sector, containers are the most dynamic and complex to manage. To provide adequate strategy for the increasing traffic, ports must either expand facilities or improve efficiency of operations. In investigating ways in which ports can improve efficiency, this paper outlines a container terminal simulation model and gives components architecture that are implemented with Java. Simulator calibration and validation are also presented in the paper. The main goal of the present work is to provide a help tool in a port decision support system. The object oriented software design using UML diagrams is deployed in this project. (c) 2005 Elsevier B.V. All rights reserved.</t>
  </si>
  <si>
    <t>10.1016/j.ejor.2005.02.037</t>
  </si>
  <si>
    <t>Object oriented model for container terminal distributed simulation</t>
  </si>
  <si>
    <t>REF_539</t>
  </si>
  <si>
    <t>Double trolley quayside container cranes (DTQCs), automatic guided vehicles (AGVs) and automatic rail mounted gantry cranes (ARMGs) are widely used in automatic container terminals (ACTs) in China. To support the design and management of ACTs, we propose a 3D simulation model to simulate the discharging and loading operation based on agent-based simulation and microscopic traffic simulation on the AnyLogic software. Finally, we apply the proposed simulation model in a real case to certify that this model can provide decision support for the design and management of ACTs with DTQC/AGV/ARMG.</t>
  </si>
  <si>
    <t>10.1145/3307363.3307374</t>
  </si>
  <si>
    <t>PROCEEDINGS OF THE 11TH INTERNATIONAL CONFERENCE ON COMPUTER MODELING AND SIMULATION (ICCMS 2019) AND 8TH INTERNATIONAL CONFERENCE ON INTELLIGENT COMPUTING AND APPLICATIONS (ICICA 2019)</t>
  </si>
  <si>
    <t>An Agent-Based Simulation Model for Operations in an Automatic Container Terminal with DTQC/AGV/ARMG</t>
  </si>
  <si>
    <t>REF_538</t>
  </si>
  <si>
    <t>This research compares the impact of infrastructure congestion management initiatives at a bulk cargo marine terminal on truck queuing and emissions. Researchers have studied the impact of individual congestion management initiatives in marine terminals extensively. However, limited research has been conducted to comparatively evaluate the impact of several initiatives. Furthermore, researchers have mainly focused on container terminals to the detriment of bulk cargo terminals even though bulk cargo marine terminals can face significant congestion challenges. A discrete-event simulation model of a bulk cargo marine terminal is developed in this research using empirical data collected from weighbridges and truck geo-positioning systems. The model is used to conduct a scenario analysis of several congestion management initiatives and assess their sensitivity to increasing terminal throughput. The performance indicators used are truck turnaround times, waiting times, turnaround time reliability, and engine idling emissions. The modelling results indicate that terminal appointment systems are one of the most effective congestion mitigation initiatives, reducing truck turnaround times by up to 65% and engine idling emissions by up to 80% compared to no intervention. The benefits accrued from terminal infrastructure expansions rival those of appointment systems only in high terminal throughput scenarios. This research contributes to the body of knowledge by presenting an approach that improves understanding of the differential impacts of congestion management initiatives on truck and environmental performance in bulk cargo marine terminals. For practitioners, this research presents congestion management considerations that balance the competitive operational, cost, and efficiency interests of individual port users with tactical and strategic concerns regarding environmental impacts.</t>
  </si>
  <si>
    <t>10.1016/j.simpat.2021.102362</t>
  </si>
  <si>
    <t>Using discrete-event simulation to compare congestion management initiatives at a port terminal</t>
  </si>
  <si>
    <t>REF_537</t>
  </si>
  <si>
    <t>In this paper different microscopic discrete event simulation models for a container terminal are presented. The focus is on the best approach to adopt to simulate handling activity time duration and on which level of detail should be pursued with respect to different planning horizons that a decision maker have to face. The models share the same logical architecture but differ in the approaches pursued to estimate handling activity time duration. Terminal operations were broken down into elementary activities pursuing a level of disaggregation not usual in the literature; time duration of each elementary handling activity was modelled through a stochastic approach, distinguishing container type; validation was carried out with respect to different planning horizons (real-time/short-term, long-term) through the definition of local and global indicators and a before-and-after analysis. Modelling issues are discussed for tactical and strategic planning, and operational guidelines are given. (C) 2011 Elsevier B.V. All rights reserved.</t>
  </si>
  <si>
    <t>10.1016/j.simpat.2011.10.005</t>
  </si>
  <si>
    <t>Tactical and strategic planning for a container terminal: Modelling issues within a discrete event simulation approach</t>
  </si>
  <si>
    <t>REF_536</t>
  </si>
  <si>
    <t>Maritime container terminals are playing a growing role within global transport chains. As intermodal nodes between sea traffic flows and inland distribution, they are very important to shipping lines. The current trend of moving towards economies of scale in regard to mother vessels is also having a tremendous impact on seaport operations and hinterland transportation in terms of 'call size'. This paper deals with the study of multimodal container flows at an Italian maritime terminal, focusing the attention on the performance of road and rail connections. In this framework, the current modal unbalance generates heavy problems of congestion and compromises the overall terminal competitiveness. This paper applies a discrete event simulation approach, in order to evaluate the feasibility of an alternative and more balanced scenario achievable in a short-mid-term perspective. Our goal is to enhance the performance of rail connections, without proposing the realisation of a new railway line which is only attainable in the long run, but trying to exploit to the full the available endowment of assets through a deep operational restructuring. Simulation runs performed in this perspective revealed the adequacy of such an approach and demonstrated the successful effects of a modal re-equilibrium. Maritime Economics &amp; Logistics (2009) 11, 77-97. doi:10.1057/mel.2008.22</t>
  </si>
  <si>
    <t>10.1057/mel.2008.22</t>
  </si>
  <si>
    <t>MARITIME ECONOMICS &amp; LOGISTICS</t>
  </si>
  <si>
    <t>Modal split evaluation of a maritime container terminal</t>
  </si>
  <si>
    <t>REF_535</t>
  </si>
  <si>
    <t>This paper describes the structure and employment of a discrete-event simulation model for the real-life detailed processes performed during the handling of import containers. In particular, the model focuses on the storage assignment problem at the operational level in a container terminal with a multiple-berth structure. A novel approach using a hierarchical structure is adapted to partition the assignment problem into two sub-problems and solve each of them using separate decision rules. Suggested storage policies are evaluated in view of the overall performance of the container terminal. Different traffic densities are simulated to reflect the real-time environment. Simulation runs emphasize the bottleneck at the quay cranes. Results confirm that quay-crane efficiency may be improved by using appropriate storage policies. Strategies that adopted the integrated assignment method at the first level, where travel distances and gantry-crane workloads are considered, performed best at coping with this bottleneck. At the second level of the hierarchy, by using a segregated strategy, in which estimated container departure dates are considered, the number of reshuffles is reduced.</t>
  </si>
  <si>
    <t>10.1177/0037549710369812</t>
  </si>
  <si>
    <t>SIMULATION-TRANSACTIONS OF THE SOCIETY FOR MODELING AND SIMULATION INTERNATIONAL</t>
  </si>
  <si>
    <t>Simulation-based analysis for hierarchical storage assignment policies in a container terminal</t>
  </si>
  <si>
    <t>REF_534</t>
  </si>
  <si>
    <t>NEC-Italy high-performance computing division recognises that computer simulation aided organisation and management is the true challenge for a new generation of advanced decision tools for supporting operations in modern logistic platforms. Collecting academic expertises, research skills, computing machinery and dynamic realities with a significant growth into the field of container terminal logistics is a new R&amp;D project at the CESIC-NEC center at the University of Calabria. The starting idea of this project is that discrete-event simulation is the best modelling approach to manage the complexity of logistic processes at container terminals. For these time-based systems, operating in a stochastic environment, becomes crucial to highlight both congestion and starvation phenomena embedded into logistic processes, in order to achieve reasonable targets of a good management of resources and, therefore, stay on the market. Here we present some queuing network based representations that are at the basis of an integrated simulation model under development. Since large and complex models are affected by a high burden on execution, we also remark the benefits of parallel and/or distributed computational frameworks. Numerical results on parallel analysis of simulation output data are given.</t>
  </si>
  <si>
    <t>SIMULATION AT A MARITIME CONTAINER TERMINAL: MODELS AND COMPUTATIONAL FRAMEWORKS</t>
  </si>
  <si>
    <t>REF_533</t>
  </si>
  <si>
    <t>Truck appointment system (TAS) is used to regulate the number of trucks that can enter the terminal. However, because of the limited number of quotas, TAS is incompetent to fully meet all requirements of time window for individual truckers. In order to avoid the limitation of TAS, a simulation-based truck appointment mechanism named 'interactive appointment system (IAS) ' was proposed with the purpose of balancing truck arrival peak and reducing truck turnaround time. IAS allows the trucker to get the estimated truck turnaround time over his preferred arrival time interval when making an appointment application. This can assist him to choose a reasonable appointment arrival time. Moreover, a discrete event simulation model was formulated to estimate truck turnaround time, through describing the tri-stage queuing system (gate-parking lot-yard) of terminals, with considering the interference of block occupying brought by ship discharging/loading operations. Results of a series of experiments demonstrate the effectiveness and robustness of IAS on alleviating congestion inside/outside terminal and decreasing truck turnaround time. In addition, how the parking quantity of parking lot influences the efficiency of terminal queuing system was also discussed in this study.</t>
  </si>
  <si>
    <t>10.1504/IJSTL.2022.120667</t>
  </si>
  <si>
    <t>Simulation of truck arrivals at container terminal based on the interactive truck appointment system</t>
  </si>
  <si>
    <t>REF_532</t>
  </si>
  <si>
    <t>A queuing network model of the logistic activities related to the arrival, berthing, and departure processes of vessels at a container terminal is presented in this paper. Non-standard service stations, time-dependent priority mechanisms, and complex resource allocation policies prevent the use of analytical approaches to the solution. By adopting the process approach, a simulation model for the above queuing network has been developed. This requires a limited effort when using graphical objects of the Visual SLAM language for discrete-event simulation. Good validation results, against response measures on a real system, are obtained using aggregated data related to a finite time horizon. Steady-slate simulation results illustrate the use of the model for a what if optimisation approach to the berth planning problem. (C) 2001 Elsevier Science B.V. All rights reserved.</t>
  </si>
  <si>
    <t>10.1016/S0377-2217(00)00200-9</t>
  </si>
  <si>
    <t>Berth planning and resources optimisation at a container terminal via discrete event simulation</t>
  </si>
  <si>
    <t>REF_531</t>
  </si>
  <si>
    <t>Block widths ranging from two to fifteen rows in a marine container terminal are evaluated by a fully-integrated, discrete event simulation model. Experiments consider dozens of yard configurations and four container terminal settings that are designed to reproduce the microscopic, stochastic, real-time environment at a multiple-berth facility. Results show that the quay crane rate is concave with respect to block width when the yard storage capacity and amount of yard equipment is constant. The optimal block width ranges from 6 to 12 rows depending on the amount of equipment deployed and the size, shape, and throughput of the terminal. (C) 2008 Elsevier Ltd. All rights reserved.</t>
  </si>
  <si>
    <t>10.1016/j.tre.2008.11.004</t>
  </si>
  <si>
    <t>TRANSPORTATION RESEARCH PART E-LOGISTICS AND TRANSPORTATION REVIEW</t>
  </si>
  <si>
    <t>Effect of block width and storage yard layout on marine container terminal performance</t>
  </si>
  <si>
    <t>REF_530</t>
  </si>
  <si>
    <t>PROCEEDINGS OF THE 1993 SUMMER COMPUTER SIMULATION CONFERENCE</t>
  </si>
  <si>
    <t>A FLEXIBLE, INTERACTIVE AND INTELLIGENT TOOL FOR CONTAINER TERMINAL SIMULATION</t>
  </si>
  <si>
    <t>REF_529</t>
  </si>
  <si>
    <t>In this paper we present a discrete event simulation model to approach the decision problems arising from an expansion plan of a marine container terminal. In particular the preliminary study herein presented starts from a collaboration with the Southern European Container Hub (SECH) sited in the Port of Genoa, Italy. The planned expansion will take place from 2010, the terminal area will enlarge, thus being capable of doubling the present TEU handling capacity. Due to the foreseen increase in the traffic volume, there is the need of defining new management policies, mainly related to the organization of the yard and quay sides of the terminal. The proposed simulation model, that has been implemented by the Witness software environment, can be used to analyse different scenarios, pertaining to possible changes of the import/export flows, handling techniques, different equipments and investment options as well as different operative rules for the berthing and storage area.</t>
  </si>
  <si>
    <t>23RD EUROPEAN CONFERENCE ON MODELLING AND SIMULATION (ECMS 2009)</t>
  </si>
  <si>
    <t>A DISCRETE EVENT SIMULATION MODEL FOR THE ANALYSIS OF CRITICAL FACTORS IN THE EXPANSION PLAN OF A MARINE CONTAINER TERMINAL</t>
  </si>
  <si>
    <t>REF_528</t>
  </si>
  <si>
    <t>The goal of this study is to produce a simulation decision support model for check-in desks in the port. In particular, this study develops a simulation model can be used to build a structure that helps predict delay and to produce a logical and rational management of check-in and security checkpoint inside the terminal port. The model was tested in the medium size Italian port (Naples).</t>
  </si>
  <si>
    <t>SELECTED TOPICS IN SYSTEM SCIENCE AND SIMULATION IN ENGINEERING</t>
  </si>
  <si>
    <t>Management of check-in at the Naples port terminal by DES logic</t>
  </si>
  <si>
    <t>REF_527</t>
  </si>
  <si>
    <t>This study introduces a discrete event simulation model for the analysis of bulk carrier unloading and material transport, storage and discharge at Europe's largest alumina refinery, RUSAL Aughinish Alumina. With novel features such as the integration of additional unloading functionality, auxiliary infrastructure units, as well as efficient maintenance scheduling into the material processing chain, the model is used to predict and evaluate the performance gain in the port system in the context of long-term investment and planning scenarios. Promising strategic directions in terms of large scale performance indicators such as berth occupancy and costs have been identified. (C) 2016 Elsevier Ltd. All rights reserved.</t>
  </si>
  <si>
    <t>10.1016/j.tre.2016.12.005</t>
  </si>
  <si>
    <t>A simulation model for the management and expansion of extended port terminal operations</t>
  </si>
  <si>
    <t>REF_526</t>
  </si>
  <si>
    <t>Roll-on/roll-off (Ro-Ro) terminals are important logistic hubs dedicated to vessels and transporters and their loading, unloading and temporary storage. This study aims at assessing the impact of managers' decisions on planning and operational efficiency with a particular focus on vehicle handling. To this end, the terminal operations are described, the operation decisions are analyzed and the costs involved in terminal processes are formalized. The high complexity of the managerial problem, mostly caused by the stochastic nature of the related variables, is resolved with a discrete event simulation model (developed in Arena Rockwell). It supports day-by-day terminal managers' decisions, enabling the evaluation of the economic impact of different operational alternatives on logistic costs and pollutant emissions. The verification and validation of the model were carried out in a real environment. Finally, an illustrative example of the tool usage is presented in a case study. (C) 2015 Elsevier B.V. All rights reserved.</t>
  </si>
  <si>
    <t>10.1016/j.simpat.2015.11.005</t>
  </si>
  <si>
    <t>Proposal for a flexible discrete event simulation model for assessing the daily operation decisions in a Ro-Ro terminal</t>
  </si>
  <si>
    <t>REF_525</t>
  </si>
  <si>
    <t>M&amp;S has proved to be a day-to-day tool highly indispensable for complex systems design, management and training. Therefore, the proposed research study aims at developing a simulation model to recreate the complexity of the Algeciras port, one of the biggest container terminals in Spain. The simulation model is developed by using the discrete event simulation software Arena and is validated considering three validation scenarios. Lastly, based on the simulation outputs, a specific analysis about the port management and control policies has been presented.</t>
  </si>
  <si>
    <t>A SIMULATION-BASED APPROACH FOR RESOURCE MANAGEMENT AND CONTROL: A REAL CASE STUDY OF A SPANISH CONTAINER TERMINAL</t>
  </si>
  <si>
    <t>REF_524</t>
  </si>
  <si>
    <t>Container terminals (CTs) play a crucial role within the global supply chain in the context of the global container transportation business. The primary obligation associated with these terminals involves ensuring the punctual execution of primary vessel operations, while strictly adhering to the Estimated Time of Departure (ETD) for vessels. To accomplish this goal, it is crucial to develop rigorous and exact operating strategies. Nonetheless, the accurate prediction of operation times in CT presents a significant challenge due to the concurrent involvement of various Container Handling Equipment (CHE) and the occurrence of unforeseen situations. To address this issue, this study proposes a novel approach called Predictive Discrete Event Simulation (PDES) that utilizes data collected from CT to predict the operation times. The PDES is an advanced approach that builds upon the widely used Discrete Event Simulation (DES) technique in the field of simulations. It is specifically designed to provide precise predictions of the operation times in CTs, where multiple events take place concurrently. The PDES in this paper aims to overcome the shortcomings of current simulation-based approaches for prediction in CT. These approaches often rely on predefined task sequences and assumed time for job handling time of CHE in their scenarios, which can result in reduced accuracy when predicting operation times. Through the resolution of these issues, the proposed PDES exhibits the capacity to improve predictive performance. To enhance the predictive performance of operation times in CTs through PDES, two approaches are introduced. The first approach entails the application of Support Vector Machine (SVM) algorithms for the purpose of predicting operation times. This approach is further augmented by integrating it with DES to improve the accuracy of predictive performance. The second approach involves predicting by simulating real-world operational scenarios in CTs using algorithms for CHE assignment. The predictive performance of the proposed PDES is assessed through the utilization of data gathered from Busan Port Terminal (BPT) in South Korea, demonstrating superior performance compared to alternative prediction approaches.</t>
  </si>
  <si>
    <t>10.1109/ACCESS.2024.3389961</t>
  </si>
  <si>
    <t>IEEE ACCESS</t>
  </si>
  <si>
    <t>A Predictive Discrete Event Simulation for Predicting Operation Times in Container Terminal</t>
  </si>
  <si>
    <t>REF_523</t>
  </si>
  <si>
    <t>The basic technical features of the general simulation model for marine terminal studies, as developed by the Exxon Corporation, are discussed. The model was developed for use in optimizing terminal facilities to minimize delays in servicing incoming tankers. A typical application of the model is discussed.</t>
  </si>
  <si>
    <t>undefined</t>
  </si>
  <si>
    <t>Scopus</t>
  </si>
  <si>
    <t>Conference paper</t>
  </si>
  <si>
    <t>SIMULATION ANALYSIS OF MARINE TERMINAL INVESTMENTS.</t>
  </si>
  <si>
    <t>REF_522</t>
  </si>
  <si>
    <t>Described is a model for the simulation of a container terminal, developed for use by U.S. Flag steamship company operators by the Cargo Handling Cooperative Program. Designed to aid those making decisions affecting a terminal, the model is for use in long range plans. (R.I.H.)</t>
  </si>
  <si>
    <t>Container terminal simulation model.</t>
  </si>
  <si>
    <t>REF_521</t>
  </si>
  <si>
    <t>The main objective of marine terminal design is to maximize terminal production with minimum capital costs for each of the terminal's elements. The major terminal elements for loading tankers and comparable vessels are the incoming pipeline, the storage tanks, the loading lines, and the berthing facilities. Each design parameter was considered as either a deterministic or probabilistic variable. The deterministic variables were the incoming flow rate, the capacity of each storage tank, and interruptions due to scheduled maintenance of each port element. The probabilistic variables were ship arrivals, ship class, ship size, interruptions due to weather conditions, and the unscheduled maintenance of port elements. The simulation model generated a specific random number stream associated with the probability distribution of each probabilistic variable. The optimization model helped to understand the dynamic behavior of the system and the complex interaction of the port elements during its life cycle of twenty years. The model was used to examine various alternative configurations, to estimate total port efficiency, and to estimate the utilization factor for each element. It generated data to estimate the desirable cost associated with the required port performance.</t>
  </si>
  <si>
    <t>American Society of Mechanical Engineers, Petroleum Division (Publication) PD</t>
  </si>
  <si>
    <t>Optimization of marine terminal design</t>
  </si>
  <si>
    <t>REF_520</t>
  </si>
  <si>
    <t>A decision support system for management of an intermodal container terminal is presented. Among problems to be solved are the spatial allo cation of containers in the terminal yard, the allo cation of resources, and the scheduling of opera tions to maximise a performance function based on economic indicators. These problems are solved using techniques from optimisation, such as job-shop scheduling, genetic algorithms or mixed-integer linear programming. At the termi nal, the same problems are usually solved by the terminal manager, using only his experience. The manager can trust computer-generated solutions only by validating them by means of a simulation model of the terminal. Thus, the simulation tool also becomes a means to introduce new ap proaches into traditional settings. We focus on the resource allocation problem and describe our modules for optimisation of the allocation process and the simulation of the terminal. The former is based on integer linear programming; the latter is a discrete-event simulation tool based on the pro cess-oriented paradigm. The simulator provides a testbed for checking the validity and robustness of the policy computed by the optimisation module. © 1998, Sage Publications. All rights reserved.</t>
  </si>
  <si>
    <t>Simulation</t>
  </si>
  <si>
    <t>Simulation and Planning of an Intermodal Container Terminal</t>
  </si>
  <si>
    <t>REF_519</t>
  </si>
  <si>
    <t>In this research, the optimum design methods for material handling system in a seaport container terminal are investigated. The optimum design for the container yard with transfer crane system is discussed in the present report. The simulation model is built both from the field survey and the analysis of handling mechanism for a transfer crane. As a result of simulation analysis, the optimum block size of container stowage for a transfer crane is derived. An index to evaluate the condition of delivery operation, that a container is loaded to tractor-trailer with a transfer crane, is defined as the queuing time irregularity. It describes the relationship between the inter -arrival time for tractor-trailers and the stacking height for a transfer crane. For delivery operation, it is confirmed that 3-container stacking is most effective in any case and that queuing time irregularity less than 1 describes the optimum operation with no cumulative waiting time for tractor-trailers. © 1999, The Japan Society of Mechanical Engineers. All rights reserved.</t>
  </si>
  <si>
    <t>10.1299/kikaic.65.3876</t>
  </si>
  <si>
    <t>Nihon Kikai Gakkai Ronbunshu, C Hen/Transactions of the Japan Society of Mechanical Engineers, Part C</t>
  </si>
  <si>
    <t>Optimum Design for Material Handling System in Container Terminal (3rd Report, Optimum Design of Layout and Operation for Transfer Crane System)</t>
  </si>
  <si>
    <t>REF_518</t>
  </si>
  <si>
    <t>The objective of this paper is to introduce a computer simulation model with on-screen animation graphics, which can simulate the operations of a container terminal equipped with straddle carriers. The movements of the equipment are simulated as realistically as possible, to include time losses due to the mismatch in the sequence of equipment movements and to traffic congestion. Trucks are normally served in a specified area, but in some cases, straddle carrier drivers can call the truck to be served directly in the container storage areas. The experience of operators is incorporated in the model, in the form of a knowledge base, that is used to simulate the above process and determine the service discipline. The model was designed to evaluate different configurations (changes in yard layout, equipment number and productivity, truck arrival pattern and service discipline) of the simulated system. The proposed model was used to examine the differences between "the observed" operations strategy and the strategy dictated by the operational rules of the port of Piraeus. The results indicate that "the observed" strategy leads to shorter truck service time but increase the traffic conflicts in the terminal's internal transport networks.</t>
  </si>
  <si>
    <t>Journal of Advanced Transportation</t>
  </si>
  <si>
    <t>REF_517</t>
  </si>
  <si>
    <t>This paper discusses the major factors influencing the transfer efficiency of rail container terminals, as measured by the through put time of containers. An analytically based simulation model is designed to describe container progress in the system. Cyclic heuristic rules for equipment assignment are applied and a new heuristic rule is developed to dis patch trains to tracks. The simulation model combined with the heuristic rules is used to address a number of specific objectives of the study. Different performance measures are applied and the impact that the train-to-track dispatching and the handling equipment assignment can have on the measures is established. Validation and testing of models make use of data from Acacia Ridge Terminal, Brisbane, Australia. © 1997 Operational Research Society Ltd.</t>
  </si>
  <si>
    <t>10.1057/palgrave.jors.2600348</t>
  </si>
  <si>
    <t>Journal of the Operational Research Society</t>
  </si>
  <si>
    <t>Increasing the operational efficiency of container terminals in Australia</t>
  </si>
  <si>
    <t>REF_516</t>
  </si>
  <si>
    <t>Examines how to achieve greater efficiency of operation at dry bulk terminals. Strong competition in the coal export industry has required certain terminals to handle more grades of coal, which demands different stacking logistics. Computer simulation modelling techniques may be used to study improvements in ship loading, etc. Greater efficiencies may come through accommodating larger ships or elimination of draft surveys, electricity demand management etc. Examines characteristics of the Canadian grain trade and studies improvements at Alberta Wheat Pool, Vancouver and Pacific Elevators, Vancouver. A model, grain terminal simulator was developed for Alberta Wheat Pool to identify the bottlenecks and assess improvements. Notes that the operations simulation will be applied to plant operation. At Pacific Elevators, the berths were deepened and ship loading was upgraded. (C.J.U.)</t>
  </si>
  <si>
    <t>INT. BULK J.</t>
  </si>
  <si>
    <t>Fine tuning dry bulk terminal operations.</t>
  </si>
  <si>
    <t>REF_515</t>
  </si>
  <si>
    <t>This paper examines a typical material handling operation at a bulk-port marine terminal. A simulation model has been developed for port/yard operations to evaluate and improve the system performance. There exists a railroad system delivering the ore into a yard from a nearby mine. There are vessels arriving at the pier to receive the ore that is piled in the yard. The yard carries two forms of ore (wet and dry) and it is driven by the demand from the vessels. We have studied various operational policies that would resolve the issue of where to place the arriving material in the yard using the simulation model. The effectiveness of different heuristics are discussed and explained. Various sensitivity analyses and further research topics are discussed in the conclusion.</t>
  </si>
  <si>
    <t>Proceedings of the IEEE International Conference on Systems, Man and Cybernetics</t>
  </si>
  <si>
    <t>Control policies for material flow in bulk-port marine terminals</t>
  </si>
  <si>
    <t>REF_514</t>
  </si>
  <si>
    <t>Discrete event simulation models of marine container terminals were developed for use by executives of ship operating companies and terminal operators for the purpose of analyzing terminal facilities and identifying areas to improve terminal operations and lower costs. A planning model was first developed for use by senior level managers. The system presents a series of screens to the user allowing a complete terminal to be defined and then simulated. Users are able to change the configuration and makeup of yard parking areas, check-in gates, cranes, arrival rates of containers, ship arrival and service statistics, operation times and costs. This planning model was extended for analyzing specific terminal operations in detail. This model focuses on one of four primary operating areas of the terminal (apron, gate, yard and consolidated freight station) for use by the operations managers. The model provides a series of screens to the user allowing portions of the terminal to be defined and then simulated. The key parameters affecting operations are identified such that day to day use of the model requires minimal input, yet a wide range of terminals and methods of operation can be simulated by non-technically oriented managers. The models are evaluated for use in bulk liquid terminals. The model parameters are developed to review liquid transfer operations and performance measurements.</t>
  </si>
  <si>
    <t>Ports - Proceedings</t>
  </si>
  <si>
    <t>Use of simulation models at container and bulk liquid terminal facilities</t>
  </si>
  <si>
    <t>REF_513</t>
  </si>
  <si>
    <t>SRI International's terminal analysis, design, and evaluation model (TANDEM) is a computer-based tool that assist designers in the planning, design or rehabilitation, and operational evaluation of marine or rail container terminal facilities. The unique characteristics of each terminal facility dictate that engineering judgment and past experience be augmented by systematic analysis methods such as TANDEM. The use of TANDEM permits the designer to evaluate and explore alternative designs and methods of operation for intermodal terminals so that the optimum design can be selected. An example is presented of the use of TANDEM to determine the effect of a change from a two-ship-a-week to a three-ship-a-week schedule on operations at a hypothetical terminal.</t>
  </si>
  <si>
    <t>Transportation Research Record</t>
  </si>
  <si>
    <t>TANDEM: MARINE AND RAIL CONTAINER TERMINAL SIMULATION MODEL.</t>
  </si>
  <si>
    <t>REF_512</t>
  </si>
  <si>
    <t>This paper discusses the major factors influencing the transfer efficiency of seaport container terminals. The objective is to utilise queuing techniques to draw inferences regarding strategies for a container terminal's service improvement by using analytical expressions. The model developed here is referred to as a batch-arrival multi server queuing system and designated as a stochastic model. Later the model is compared with another analytical model and a simulation approach. A comparative analysis is performed on these models and results show that the analytical model can take the place of the simulation model.</t>
  </si>
  <si>
    <t>10.1080/03081069708717591</t>
  </si>
  <si>
    <t>Transportation Planning and Technology</t>
  </si>
  <si>
    <t>Comparison of analytical and simulation planning models of seaport container terminals</t>
  </si>
  <si>
    <t>REF_511</t>
  </si>
  <si>
    <t>The Container Terminal Model (CTM) comprises a batch computer simulation model and interactive graphics animation package. The model has been developed to aid engineers and transportation planning analysts in the design of new container terminals and in the modification of existing ones. The model consists of two parts: a computer simulation of the intermodal terminal operations, and a graphical postprocessor. The simulation can evaluate various plant layouts, equipment trade-offs and yard operating policies. The results of the simulation can then be graphically replaced by the postprocessor, animating the major operations in the terminal.</t>
  </si>
  <si>
    <t>SIMULATION/ANIMATION OF AN INLAND RAILWAY CONTAINER TERMINAL.</t>
  </si>
  <si>
    <t>REF_510</t>
  </si>
  <si>
    <t>The model structure outlined in this paper provides a framework for the analysis and improvement of certain terminal operating procedures. The foundation of the model is a procedure for forecasting and updating the volumes of trailers to be handled. The short-term uncertainty relating to outbound trailer volumes can be one of the major causes of terminal inefficiency, particularly with respect to hitch use. A combination of automatic and interactive methods are used by the simulator to allocate terminal resources. These resources include loading equipment, tracks, railcars, and switching facilities. This allocation process simulates the management component of the terminal. The physical component is represented by a series of queues, buffers, and processors, each with specified capabilities and availability.</t>
  </si>
  <si>
    <t>INCORPORATION OF OPERATIONAL DECISION MAKING IN INTERMODAL TERMINAL SIMULATION MODELS.</t>
  </si>
  <si>
    <t>REF_509</t>
  </si>
  <si>
    <t>Transportation Research Part A: Policy and Practice</t>
  </si>
  <si>
    <t>REF_508</t>
  </si>
  <si>
    <t>This paper examines a typical material handling operation at a bulk-port marine terminal. A simulation model has been developed for port/yard operations to evaluate and improve the system performance. A railroad system exists which delivers the ore into a yard from a nearby mine. Vessels arrive at the pier to receive the ore that is piled in the yard. The yard carries two forms of ore (wet and dry) and it is subject to the demand from the vessels. We have studied various operational policies that would resolve the issue of where to place the arriving material in the yard using the simulation model. The effectiveness of different heuristics are discussed and explained. Various sensitivity analyses and further research topics are discussed in the conclusion.</t>
  </si>
  <si>
    <t>Bulk Solids Handling</t>
  </si>
  <si>
    <t>REF_507</t>
  </si>
  <si>
    <t>SRI International's terminal analysis, design, and evaluation model (TANDEM) is a computer based tool that assists designers in the planning, design or rehabilitation, and operational evaluation of marine or rail container terminal facilities. The unique characteristics of each terminal facility dictate that engineering judgement and past experience be augmented by systematic analysis methods such as TANDEM. The use of TANDEM permits the designer to evaluate and explore alternative designs and methods of operation for intermodal terminals so that the optimum design can be selected. An example is presented of the use of TANDEM to determine the effect of a change from a two ship a week to a three ship a week schedule on operation at a hypothetical terminal. (A)</t>
  </si>
  <si>
    <t>TANDEM: marine and rail container terminal simulation model.</t>
  </si>
  <si>
    <t>REF_506</t>
  </si>
  <si>
    <t>Described is the Cargo Handling Cooperative Program's (CHCP) Container Terminal Simulation Model for use by U.S. Flag Steamship Company operators. The system configuration needed to operate the model is given along with the types of data needed for input. (R.I.H.)</t>
  </si>
  <si>
    <t>REF_505</t>
  </si>
  <si>
    <t>We built an animated simulator that runs on a PC. The animation helped with program debugging and was instrumental in 'selling' the simulator to a paying client. The simulator models a collection of ship-docks, onshore tankage and flow-rates, and a ship-channel with definable characteristics. The simulator collects statistics on terminal operation that can be used for planning terminal expansion and improvement, or for mothballing of unused facilities. On-screen animation shows the movement of ships within the terminal and the levels of inventory in the tanks. On-screen histograms show selected port statistics, continuously updated as the simulation proceeds. Off-screen statistics include average time-inport, average ship delays due to various causes, and excess waiting time (demurrage.) This paper discusses the advantages of adding animation to a Monte Carlo simulation model. The talk also shows concrete examples. © 1992 ACM.</t>
  </si>
  <si>
    <t>10.1145/167293.167808</t>
  </si>
  <si>
    <t>Proceedings - Winter Simulation Conference</t>
  </si>
  <si>
    <t>Using animation to enhance a marine-terminal Monte Carlo simulator</t>
  </si>
  <si>
    <t>REF_504</t>
  </si>
  <si>
    <t>This article descibes the latest simulation technology being used to model bulk materials handling facilities.</t>
  </si>
  <si>
    <t>Recent advances in simulation models for bulk terminal design</t>
  </si>
  <si>
    <t>REF_503</t>
  </si>
  <si>
    <t>Two new simulation programs designed to assist U.S. Flag carriers in the improvement and day-to-day management of marine terminal operations are described. The development/validation process is also described, emphasizing the active role played by the sponsoring carriers. The first model, PCTERM (PC-based Terminal Equipment and Resource Model) was designed for use by planners and upper-level executives. It is a planning model to evaluate longer term (2 weeks or more) effects of operations changes. The second model, TOSP (Terminal Operations Simulation Program), which is the primary focus of this article, was designed to evaluate the operation of container terminals in detail for shorter periods of time, ranging from one shift to one week. Both programs and PC-based, and were developed for, and are copyrighted by, the Cargo Handling Cooperative Program, a joint venture of U. S. flag carriers and the Maritime Administration. Overviews of the systems are given, followed by case studies of terminals where the model system has been installed, discussing benefits gained through use of the system.</t>
  </si>
  <si>
    <t>Proceedings - Ship Technology and Research (STAR) Symposium</t>
  </si>
  <si>
    <t>Simulation modeling of marine terminal facilities and their operation</t>
  </si>
  <si>
    <t>REF_502</t>
  </si>
  <si>
    <t>The paper discusses the key issues of the application of modelling and simulation for management of the Riga Harbour Container Terminal (RHCT), which have been explored within the concerted action project, “Appli cation of Modern Concepts in the Automated Information Management in Harbours by Using Advanced IT-Solutions.” The project was financed by the European Commission in 1995-1997 under the COPERNICUS-1994 Programme. It was aimed at improving logistics processes at RHCT, the largest container terminal on the Baltic Sea, playing an important role in the transit transport chain between western European countries and eastern countries of the former Soviet Union (Russia, Belorussia, Ukraine, etc.). The problems considered and approaches to solve them are not unique for RHCT, but are typical for growing harbours. Therefore, the results obtained could be used as a guideline for solving analogous problems at other harbours. © 1998, Sage Publications. All rights reserved.</t>
  </si>
  <si>
    <t>A Modelling and Simulation Methodology for Managing the Riga Harbour Container Terminal</t>
  </si>
  <si>
    <t>REF_501</t>
  </si>
  <si>
    <t>A simulation-based optimization method was proposed for on-line optimal scheduling on gate operation on container terminal. The discrete event simulation model for gate operation was established, and the mathematical programming model for optimal scheduling was formulated. The simulation optimization method was designed which combined heuristic Tabu search algorithm with simulation model. The simulation optimization system was built with simulation automation and on-line database. The effectiveness and efficiency of the proposed method were verified and analyzed with an actual example. The results show its feasibility for the on-line, real-time optimal scheduling for gate operation.</t>
  </si>
  <si>
    <t>Chinese</t>
  </si>
  <si>
    <t>Xitong Fangzhen Xuebao / Journal of System Simulation</t>
  </si>
  <si>
    <t>Research on optimal scheduling on gate operation on container terminal based on simulation optimization method</t>
  </si>
  <si>
    <t>REF_500</t>
  </si>
  <si>
    <t>The container transportation and containerization for the material movement has been increasing rapidly in recent years. Under this circumstance, the adequate container terminal with high performance is required to satisfy the needs of customers such as cargo owner and shipping company. The purpose of this paper is to evaluate functional assessment of efficient container terminal and to consider for higher performance of container terminal. First, the process information of container operation is extracted through the database that is constructed by analysis of the daily work report of practical container terminal. And the formulae of skill factor of operator including a driving speed and some troubles of transfer crane is defined, and this skill factor is calculated by comparison of operation time of constructed database and defined the standard for operation time. Finally, a Petri-network model of container handling is proposed for estimation of performance of container throughput. © 2008 Taylor &amp; Francis Group, London.</t>
  </si>
  <si>
    <t>Maritime Industry, Ocean Engineering and Coastal Resources - Proceedings of the 12th International Congress of the International Maritime Association of the Mediterranean, IMAM 2007</t>
  </si>
  <si>
    <t>REF_499</t>
  </si>
  <si>
    <t>To analyze the new U-layout effect on the handling operation efficiency in automated container terminal, the U-automated container terminal simulation model is established by FlexTerm software to visualize the handling operation process. The traditional automated terminal simulation model is established to compare the working efficiency under different working modes. The working ability of terminal handling equipment such as AGV(Automated Guided Vehicle), yard cranes and rail-mounted gantry cranes are compared by simulation tests. Simulation results show that due to the creation of yard layout and handling technology, the superiority of U-layout is proved when the working efficiency of each handling equipment has been improved compared with the traditional automated container terminal, which improves a reasonable handling equipment configurations can also improve the operation efficiency in U-terminal. © 2021, The Editorial Board of Journal of System Simulation. All right reserved.</t>
  </si>
  <si>
    <t>10.16182/j.issn1004731x.joss.20-0643</t>
  </si>
  <si>
    <t>Simulation Research on U-Automated Container Terminal; [自动化集装箱码头U型工艺仿真研究]</t>
  </si>
  <si>
    <t>REF_498</t>
  </si>
  <si>
    <t>Forecasting is a method to evaluate the performance prediction results of a future company, and in this paper 4 unvariate forecasting models are used for the number of container throughput volumes in a container terminal, where the four models are Moving Average (MA), Simple Exponential Smoothing (ES), Addictive and Multiplicative. And the method proposed for this paper is to prove the value of the prediction accuracy of the container throughput by applying data per day and will be comparing to obtain the measurement accuracy value of prediction result using Mean Square Error (MSE) and Root Mean Square Error (RMSE). It will get the smallest accuracy value as best prediction result from generating whole model for forecasting container throughput which will be implemented into Anylogic simulation as evaluation of event logs performance based on forecast result so that from result of anylogic forecast it will get performance time and cost in the form of event logs for the future time. © 2018 IEEE.</t>
  </si>
  <si>
    <t>10.1109/ICOIACT.2018.8350718</t>
  </si>
  <si>
    <t>2018 International Conference on Information and Communications Technology, ICOIACT 2018</t>
  </si>
  <si>
    <t>Evaluation of container forecasting methods for analyzing port container terminal performance using agent-based simulation</t>
  </si>
  <si>
    <t>REF_497</t>
  </si>
  <si>
    <t>In transhipment container terminals, minimizing vessel turnaround time (time to discharge and load vessels) is always the target of the container terminal operators. This time reduction can be achieved by improving one or more of the containers handling equipment’s or improving handling strategy. This research aims at maximizing the yard trucks productivity and minimizes the vessel turnaround time by introducing an efficient strategy of handling containers. This strategy based on combining the efforts of two quay cranes to work as a unit to be able to implement yard trucks double cycling. A computer simulation has been used to test the strategy. The Ezstrobe simulation reveals improvements in yard truck productivity when using double cycling comparing to single cycling. Moreover, a sensitivity analysis is implemented and the result indicates more efficiency when using 7 yard truck for storage yard located within a range of 500-1500 meters from the berth. © 2014 I3M Conference. All rights reserved.</t>
  </si>
  <si>
    <t>International Conference on Harbour, Maritime and Multimodal Logistics Modelling and Simulation</t>
  </si>
  <si>
    <t>Simulation model of yard truck double cycling to improve container terminal productivity</t>
  </si>
  <si>
    <t>REF_496</t>
  </si>
  <si>
    <t>The main objective of this research is to analyze the current situation of Beirut Container Terminal. The proposed methodology is to mimic current terminal operations using a simulation model using ARENA software in order to identify causes of queueing occurring at berth allocation. Field research was conducted and both qualitative and quantitate data were collected using interviews, on–site observations, and online vessel tracking. A base model is developed to simulate the current operations at Beirut Container Terminal. Then, three different feasible scenarios are proposed to minimize the total time spent by the vessel at the quay side. Proposed scenarios take into consideration physical and resources expansion subject to political and financial constraints. The aim of this research is to provide a tool for the decision maker at Beirut Container Terminal in formulating an investment strategy for future expansion. © 2019: The Royal Institution of Naval Architects</t>
  </si>
  <si>
    <t>Transactions of the Royal Institution of Naval Architects Part A: International Journal of Maritime Engineering</t>
  </si>
  <si>
    <t>Simulation of vessel berthing using arena: Case of Beirut container terminal</t>
  </si>
  <si>
    <t>Truck queuing at marine container terminal gates is one of the main sources of delay at terminals and is an area of concern because delays increase the logistical cost of transporting a container. Previous studies on terminal gates focused on the performance of strategies such as the appointment system and extended gate hours. However, no study has yet evaluated the performance of pooling trucks into a single queue at the gates. Previous studies on pooling offered mixed opinions on whether pooling was beneficial, but none of those studies attempted to model the movements of the entities in the queue. In a human system (no vehicles), the movements are not as important because the time to move up one space in the queue is negligible; however, because of the size and weight of the trucks at the gates, the time to move is significant and should be considered. A study was conducted with agent-based simulation to model the terminal gate system with two queuing strategies, a pooled queue and nonpooled queues, because analytical solutions could not capture vehicle movements within the queue. In the study, a car-following model was used to capture a realistic representation of how vehicles move within the queue. The developed simulation model was used to evaluate queuing strategies in various conditions. Results indicate that the use of a pooled queue yields significantly lower average queuing times and lower variability in queuing times.</t>
  </si>
  <si>
    <t>10.3141/2330-14</t>
  </si>
  <si>
    <t>Agent-based simulation tool for evaluating pooled queue performance at marine container terminals</t>
  </si>
  <si>
    <t>REF_494</t>
  </si>
  <si>
    <t>Current port risk analyses primarily examine disruptions at an overall port level and their impacts on the broader supply chain. However, they generally overlook how disruptions originating from a specific local-level component within a multimodal port (e.g., liner shipping, feeder shipping, rail transport, trucking, or yard operations) can propagate internally and affect other operational sectors within the port. To address this gap, this study develops a novel microscopic-level System Dynamics (SD) model to quantify these internal ripple effects explicitly for the first time. Unlike existing macro-level SD studies in Supply Chain Risk Management (SCRM) that often oversimplify internal causal relationships, the proposed microscopic SD model accurately captures direct operational dependencies and interactions within a multimodal container terminal. Multiple disruption scenarios derived from real-world accident records and field investigations are simulated to assess their effects on port performance comprehensively. The results demonstrate that disruptions such as quay crane failures and yard traffic congestion significantly impair operational efficiency. Notably, yard congestion triggers considerable delays in seaside operations and leads to substantial container accumulation, illustrating the internal ripple effects clearly. Detailed scenario analysis enhances the understanding of these complex ripple effects, supporting robust and holistic strategies for improving port resilience. © 2025 The Author(s)</t>
  </si>
  <si>
    <t>10.1016/j.tre.2025.104264</t>
  </si>
  <si>
    <t>Transportation Research Part E: Logistics and Transportation Review</t>
  </si>
  <si>
    <t>Analysis of the ripple effects of disruptions on multimodal container terminals operations: a System Dynamics approach</t>
  </si>
  <si>
    <t>Currently, an important problem for transport is the organization of logistics systems of transportation management with the interaction of different modes of transport, as well as the development of transport infrastructure with the construction of terminal complexes and ports, providing multimodal transport and intermodal technology. The research in this article is aimed at solving these problematic issues. The issues of technological interaction between marine and rear container terminals in the planning of land-based cargo distribution networks are considered. The main task of the study is to obtain the necessary information about the level of technological interaction between marine and rear container terminals in a two-link system and the parameters of terminal warehouses and to analyze the development of the mechanism of cargo volume formation in the warehouse of the marine and rear container terminal. Using analytical methods, the formula for calculating the maximum capacity of terminal warehouses was derived and the values of basic capacity of sea and rear terminal warehouses for export and import directions were determined. We used methods of mathematical modeling to build a simulation model of a two-link system: a sea terminal-a rear terminal, which allows us to estimate the impact of uneven arrival of vehicles on the required storage capacity of sea and rear terminals. Under the territorial restrictions of the port, this allows to minimize the port storage area, the transshipment equipment fleet and provides for rational distribution of the transshipment equipment workload with a proportional response to changes in the size and frequency of the required consignment arrivals at the terminal. The results of the study can be used for optimal planning of sea transport and seaport infrastructure facilities. © 2024, National Academy of Sciences of the Republic of Kazakhstan. All rights reserved.</t>
  </si>
  <si>
    <t>10.32014/2024.2518-170X.402</t>
  </si>
  <si>
    <t>News of the National Academy of Sciences of the Republic of Kazakhstan, Series of Geology and Technical Sciences</t>
  </si>
  <si>
    <t>CONSTRUCTION OF MATHEMATICAL MODEL OF TECHNOLOGICAL INTERACTION PROCESSES BETWEEN SEA AND REAR CONTAINER TERMINALS</t>
  </si>
  <si>
    <t>A System Dynamics model is proposed to study management policies for a maritime container terminal constrained by urban and environmental pressures, which is a commonly observed case. The model allows the testing of policies related to port pricing and capacity expansion. An example application of the generic model to an existing container terminal is made. Specifically, the model is populated with data for the Alcantara Container Terminal in the Port of Lisbon. Model results show that capacity expansion seems to produce the best results in terms of increasing port throughput. Model results also show that following a policy of decreasing port price without proper capacity expansion may have a negative impact, especially in terms of revenue and profitability. Other possible detrimental consequences of such policy include crowding and a general decrease in service quality. © 2015 Taylor &amp; Francis Group, London.</t>
  </si>
  <si>
    <t>10.1201/b17494-8</t>
  </si>
  <si>
    <t>Maritime Technology and Engineering - Proceedings of MARTECH 2014: 2nd International Conference on Maritime Technology and Engineering</t>
  </si>
  <si>
    <t>A system dynamics model for evaluating container terminal management policies</t>
  </si>
  <si>
    <t>REF_491</t>
  </si>
  <si>
    <t>The problem of yard crane dispatching in container terminals is addressed in this paper. We proposed two new hybrid algorithms which combine the advantages of A* heuristic search and Recursive Backtracking with prioritized search order to accelerate the solution process. The algorithms proposed use real time data-driven simulation to accurately predict the time taken by the yard crane in performing its operations and this helps in getting an optimal dispatching sequence that can be followed by the yard crane. Experiments carried out show that the proposed algorithms consistently perform very well over all tested cases. The best performing algorithm is able to find the optimal solution over 2.4 × 1018 possible dispatching sequences in about 0.3 to 0.4 seconds under heavy workload. The characteristics of memory-saving and interruptibility enable the algorithm to be easily integrated into a complete yard crane management system in real world applications. In such real time yard crane management system, our proposed algorithms can be used as an effective and efficient tool to support complex and intelligent higher level planning in addition to managing the yard crane operations in its appointed zone. ©2009 IEEE.</t>
  </si>
  <si>
    <t>10.1109/WSC.2009.5429203</t>
  </si>
  <si>
    <t>A simulation based hybrid algorithm for yard crane dispatching in container terminals</t>
  </si>
  <si>
    <t>REF_490</t>
  </si>
  <si>
    <t>[No abstract available]</t>
  </si>
  <si>
    <t>INFORMATIK 2007 - Informatik Trifft Logistik, Beitrage der 37. Jahrestagung der Gesellschaft fur Informatik e.V. (GI)</t>
  </si>
  <si>
    <t>Strategic planning of hinterland container terminals: A simulation based procedure</t>
  </si>
  <si>
    <t>REF_489</t>
  </si>
  <si>
    <t>Logistic chain with containerized transport which includes a maritime component must transit through container maritime terminals. In case of dangerous goods special operating conditions are required (e.g. specialized staff, special vehicles, dedicated storage areas, segregation rules, etc.). Stochastics vessels arrival process in the container terminal and the variable number of dangerous goods containers make proper dimensioning of the storage area in the terminal difficult. In this paper, using ARENA simulation software, are develops a simulation model in order to analyse the activities in a container terminal and to assess the operating parameters of terminal facilities. The operation capacity for different port logistics sub-system is assessed taking into consideration the required operating standards and the measures of performance of the logistic system. The obtained results allow proper evaluation of the processing capacity of container terminals which can be used in sustaining studies to develop new ways to process container terminals. © 2016 Taylor &amp; Francis Group, London.</t>
  </si>
  <si>
    <t>10.1201/b21890-15</t>
  </si>
  <si>
    <t>Proceedings of 3rd International Conference on Maritime Technology and Engineering, MARTECH 2016</t>
  </si>
  <si>
    <t>REF_488</t>
  </si>
  <si>
    <t>The contribution of this paper is to provide a method for optimizing installation capacity and operation strategy of a hybrid renewable energy system (HRES) with offshore wind energy for container terminals. A mixed integer optimization model of the HRES is proposed, in which maximum environmental and economic benefits are considered as two objectives, and energy supply and demand balances, energy storage balances, technical constraints and quantity limitations are considered as constraints. However, container terminals typically execute many complicated and stochastic operation processes, and thus represent highly dynamic energy demands. Therefore, a simulation-based optimization algorithm is developed to resolve the optimization model, which consists of a simulation model and an optimization module. The simulation model is constructed to overcome the stochastic characteristics and obtain the hourly energy demands in container terminals, which are fed into the optimization module. While, the optimization module is used to search the solution space and provide the final decisions under three evaluation strategies: cost-saving, low-carbon, and trade-off strategy. Finally, taking a container terminal in Northeast China as an example, optimal results are obtained by the proposed algorithm, which can be used to provide references for power department policy making and green container terminal construction. © 2019 Elsevier Ltd</t>
  </si>
  <si>
    <t>Ocean Engineering</t>
  </si>
  <si>
    <t>Container traffic demand has been increased rapidly in recent years. It creates high occupancy in the container terminals across the country in Indonesia. To keep up the level of terminal service at the high demand in a modest way of capacity expansion, the terminal operator uses the external yard as one of the fastest and cheapest solutions with some limitations. The supporting yard is located outside of the terminal area and connected by the public road which is also used by non-container traffic. To find the optimum operation of terminal - external yards system, the model will address several optimum issues such as location, capacity, and tariff of yards. The performance of a Terminal which operates the external yard needs to be analyzed to measure the benefit of the policy. Analysis of terminal container performance could be done by a deterministic or stochastic condition which was determined by the nature data. Proper analysis approach was needed to be observed based on real data characteristic. This paper aims to analyze the container inter-arrival time and handling characteristic of marine import container terminal. Container data record of the terminal operator was referred and analyzed. Statistical theory of chi-square test was used to analyze datadistribution characteristic. Based on the chi-square criteria, fitting data distribution was conducted for container inter-arrival time, service time, and dwell time data. The distribution data analysis result shown that the data was distributed among several distribution functions. It indicates that the performance analysis of the terminal should be done in stochastic condition approach. YOR and traffic on the connecting road have an important role in connection analysis between terminal and external yard. There is a problem to construct the equation, which correlated the terminal operation and the road due to different time cycle equilibrium. If the equation formulated in hourly, it cannot catch up the container movement characteristics in the terminal. Meanwhile, if the equation expressed in daily, it cannot catch up the road traffic characteristics. Based on the handling process review, It was indicated several choices for a container to pick a server. The container handling process at the terminal operating the external yard is a hard decision-making process. These problems could be addressed using Discrete Event Simulation model based on queueing theory. The simulation can accommodate the need of choosing server algorithm and different cycle time in the terminal and connecting road. The changes of external yards location, capacity and tariff can also be handled by the simulation when the alternatives policies will be done. © IAEME Publication.</t>
  </si>
  <si>
    <t>International Journal of Civil Engineering and Technology</t>
  </si>
  <si>
    <t>Import container inter-arrival time and handling characteristic in marine container terminal with external yard-a case study of Jakarta international container terminal, Indonesia</t>
  </si>
  <si>
    <t>In this paper, a comparison between three transportation systems for the overland transport of containers between container terminals is presented. A simulation model has been developed to assist in this respect. Transport in this study can be done by either multi-trailers, automated guided vehicles or automated lifting vehicles. The model is equipped with a rule-based control system as well as an advanced planning algorithm. The model is applied to a realistic scenario for the Maasvlakte situation in the near future. The experiments give insight into the importance of the different characteristics of the transport systems and their interaction with the handling equipment. Finally, a cost analysis has been executed to support management investment decisions. © 2007 Springer-Verlag Berlin Heidelberg.</t>
  </si>
  <si>
    <t>10.1007/978-3-540-49550-5_3</t>
  </si>
  <si>
    <t>Book chapter</t>
  </si>
  <si>
    <t>Container Terminals and Cargo Systems: Design, Operations Management, and Logistics Control Issues</t>
  </si>
  <si>
    <t>Comparing transportation systems for inter-terminal transport at the Maasvlakte container terminals</t>
  </si>
  <si>
    <t>REF_485</t>
  </si>
  <si>
    <t>When designing a mega container terminal, simulation plays a key role in evaluating proposed configurations and strategies in terms of the targeted key performance indicators (KPIs). While there are currently several popular commercial software providing well-designed libraries and powerful graphic user interfaces, there are three major challenges: 1) the provided libraries are designed as a black box; only limited parameters and functions can be tuned, whereas other specific requirements such as simulating new equipment designs requires further support from the software developers; 2) many libraries are designed for evaluation at the operational level, i.e., tracking individual container movement. The scalability is limited for modelling a mega container terminal as it gets computationally expensive quickly; and 3) the libraries of simplified server-queue models are computationally affordable, but at the expense of details which gives important insights. To tackle these challenges, we proposed a hierarchical modelling paradigm that is suitable for simulation modelling of mega container terminals at different fidelity levels based on the O2DES.Net framework. With an open and modular structure, every terminal component with various fidelity models can be "plugged-and-played". This allows analysts from different backgrounds to conduct various types of analysis to meet their aims. © 2017 IEEE.</t>
  </si>
  <si>
    <t>10.1109/SII.2017.8279220</t>
  </si>
  <si>
    <t>SII 2017 - 2017 IEEE/SICE International Symposium on System Integration</t>
  </si>
  <si>
    <t>A hierarchical modeling paradigm for multi-fidelity simulation of mega container terminals</t>
  </si>
  <si>
    <t>REF_484</t>
  </si>
  <si>
    <t>Container terminals play a critical role in maritime supply chains. However, they show vulnerabilities to severe weather events due to the sea–land interface locations. Previous severe weather risk analysis focused more on larger assessment units, such as regions and cities. Limited studies assessed severe weather risks on a smaller scale of seaports. This paper aims to propose a severe weather-induced container terminal loss estimation framework. Based on a container terminal operation simulation model, monthly average loss and single event-induced loss are obtained by using historical hazard records and terminal operation records as model inputs. By studying the Port of Shenzhen as the case study, we find that the fog events in March lead to the longest monthly port downtime and the highest monthly severe weather-induced economic losses in the studied port. The monthly average loss is estimated to be 30 million USD, accounting for 20% of the intact income. The worst-case scenario is found to be a red-signal typhoon attack which results in nearly 20% decrease in the month’s income. The results provide useful references for various container terminal stakeholders in severe weather risk management. © 2018, © 2018 Informa UK Limited, trading as Taylor &amp; Francis Group.</t>
  </si>
  <si>
    <t>Maritime Policy and Management</t>
  </si>
  <si>
    <t>REF_483</t>
  </si>
  <si>
    <t>With the rapid development of multiyards railway intermodal terminal (MYRIT) construction in China, performance evaluation has become an important issue for terminal design and management departments. Due to the complexity of the multiyards terminal and the associated rail network, the train moving process and related terminal operations have become more complicated compared with the traditional intermodal container terminal. However, in general simulation platforms, the train moving process is simplified and train route scheduling rules are not considered in existing simulation models. In order to provide an accurate and comprehensive quantitative evaluation tool for MYRIT, a simulation platform based on the Timed Petri Net model has been developed, which can offer decision support for terminal design and management departments. In this platform, a yards and facilities layout module has been created to give simulation users access to designing the railway network on this platform. And a train route dispatching simulation method has been integrated to provide an accurate simulation of the train moving process. Based on a real case of Qianchang railway intermodal terminal that is located in Fujian Province, China, the platform is thoroughly validated against historical data. And the test scenarios show that train routes arrangement and handling equipment configuration both have a significant influence on overall terminal performance, which need to be carefully considered during terminal design and management. © 2018 Xuchao Chen et al.</t>
  </si>
  <si>
    <t>10.1155/2018/5812939</t>
  </si>
  <si>
    <t>A Simulation Platform for Combined Rail/Road Transport in Multiyards Intermodal Terminals</t>
  </si>
  <si>
    <t>The port transport facilities are always the bottleneck in a Container terminal logistics system. A simulation model of the system based on Witness is developed. The opportunity of purchasing new crane and updating IC toll-gate is studied, when the throughput and stochastic distributing rule is fixed. The improve scheme and evaluating indicator is put forward. Four simulation situations are designed to analyze the effect of the improvement program. The principle of container terminal logistics management decision-making is then provided. © 2008 IEEE.</t>
  </si>
  <si>
    <t>10.1109/WiCom.2008.1656</t>
  </si>
  <si>
    <t>2008 International Conference on Wireless Communications, Networking and Mobile Computing, WiCOM 2008</t>
  </si>
  <si>
    <t>Management decision on the container terminal logistics based on witness simulation</t>
  </si>
  <si>
    <t>REF_481</t>
  </si>
  <si>
    <t>The use of battery power is becoming widespread rapidly among the mega ports worldwide, owing its low emission and high energy efficiency. In this paper, a simulation approach is presented to configure the charging stations (CSs) and battery-powered automated guided vehicles (B-AGVs) at automated container terminals. The facility planning of the CSs and the operation strategies of the B-AGVs are crucial for the system performance of the terminal. A port system is modeled as a discrete event simulation model, mainly consisting of three parts: vessel generator, dispatcher, and traffic network. Two types of layout designs and two types of recharging policies are presented, to deploy the CSs and control the B-AGVs to be recharged, respectively. Extensive simulation experiments are conducted to analyze the parameter effects on the system performance. The results indicate that a decentralized CS layout and a progressive recharging policy lead to excellent performance. Some management insights are offered to gain a better understanding of the key factors when deploying a B-AGV system. © 2020 Elsevier B.V.</t>
  </si>
  <si>
    <t>10.1016/j.simpat.2020.102146</t>
  </si>
  <si>
    <t>Simulation Modelling Practice and Theory</t>
  </si>
  <si>
    <t>Simulation model and performance evaluation of battery-powered AGV systems in automated container terminals</t>
  </si>
  <si>
    <t>In shipping port sector, containers are the most dynamic and complex to manage. To provide adequate strategy for the increasing traffic, ports must either expand facilities or improve efficiency of operations. In investigating ways in which ports can improve efficiency, this paper outlines a container terminal simulation model and gives components architecture that are implemented with Java. Simulator calibration and validation are also presented in the paper. The main goal of the present work is to provide a help tool in a port decision support system. The object oriented software design using UML diagrams is deployed in this project. © 2005 Elsevier B.V. All rights reserved.</t>
  </si>
  <si>
    <t>European Journal of Operational Research</t>
  </si>
  <si>
    <t>REF_479</t>
  </si>
  <si>
    <t>Intermodal terminals are key points of urban transportation system. Quantitative evaluations should be done before planning, design, and management scenarios of intermodal terminals are carried out. Because traditional evaluation indicators were all based on fixed value or experience, dynamic effect caused by pedestrian congestion and various facility combination cannot be reflected. Based on the analysis results of simulation tool, dynamic evaluation indicators system was proposed to reflect the operation status of intermodal terminals in the view of point of safety, cost-efficiency and comfort. In order to figure out the best scenario, matter-element analysis was used to evaluate different scenarios. The weights of the indicators were determined by variation coefficient method. A pedestrian simulation model of an intermodal terminal in Beijing was built and analyzed to demonstrate how to use this indicators system and evaluation method. The application result showed that the dynamic evaluation indicators system was operational and could reflected the operation efficiency of intermodal terminal comprehensively and precisely.</t>
  </si>
  <si>
    <t>10.3963/j.issn.1006-2823.2012.01.006</t>
  </si>
  <si>
    <t>Wuhan Ligong Daxue Xuebao (Jiaotong Kexue Yu Gongcheng Ban)/Journal of Wuhan University of Technology (Transportation Science and Engineering)</t>
  </si>
  <si>
    <t>Study on evaluation method of operational efficiency for intermodal terminal</t>
  </si>
  <si>
    <t>REF_478</t>
  </si>
  <si>
    <t>This paper proposes a new modeling and control methodology for allocating materials in a dry bulk terminal with a finite storage capacity. The dynamical process of material storage allocation in the terminal is modeled using a hybrid system perspective that combines both discrete-event and continuous-time dynamics. The stockyard space is partitioned into a number of slots for exchanging incoming and outgoing material flows in the terminal, leading to a so-called mixed logical dynamical (MLD) model with the maximal storage capacity. Based on the MLD model, a model predictive controller is then proposed for maximizing the economic profit in a rolling horizon manner. A number of Monte Carlo simulations have been performed involving a real case study for analyzing the effects of different slot volumes on the economic performance and the computational performance of the controller. Simulations also demonstrate the potential of the proposed methodology. Note to Practitioners - This paper is motivated by the problem of allocating dry bulk materials in the stockyard of a small import terminal. In current approaches for allocating materials, the storage capacity cannot be considered, and this could lower the terminal profit resulting from delaying the vessel in the terminal when a finite storage capacity is considered. This paper suggests a new approach from a hybrid system perspective that captures the dry bulk terminal operation dynamics. In this paper, we mathematically describe the process of allocating materials into different slots in the stockyard using a hybrid dynamical model and propose a model predictive controller to maximize the terminal operation profit. We then show how the slot size influences the economic performance and analyze its associated computations by conducting simulation experiments involving a case study. Simulation experiments also suggest that this approach achieves significantly more economic benefits compared with current approaches. In future research, a large intermodal terminal will be investigated whereby incoming and outgoing materials of different transport modalities need to be coordinated properly. © 2004-2012 IEEE.</t>
  </si>
  <si>
    <t>10.1109/TASE.2017.2784483</t>
  </si>
  <si>
    <t>IEEE Transactions on Automation Science and Engineering</t>
  </si>
  <si>
    <t>A Hybrid Dynamical Approach for Allocating Materials in a Dry Bulk Terminal</t>
  </si>
  <si>
    <t>REF_477</t>
  </si>
  <si>
    <t>A queuing network model of the logistic activities related to the arrival, berthing, and departure processes of vessels at a container terminal is presented in this paper. Non-standard service stations, time-dependent priority mechanisms, and complex resource allocation policies prevent the use of analytical approaches to the solution. By adopting the process approach, a simulation model for the above queuing network has been developed. This requires a limited effort when using graphical objects of the Visual SLAM language for discrete-event simulation. Good validation results, against response measures on a real system, are obtained using aggregated data related to a finite time horizon. Steady-state simulation results illustrate the use of the model for a "what if" optimisation approach to the berth planning problem. © 2001 Elsevier Science B.V.</t>
  </si>
  <si>
    <t>REF_476</t>
  </si>
  <si>
    <t>Focusing on FB-ACT study, the article analyses the overall unloading efficiency of the terminals under various configuration plans with different frame bridge system. We analyze the possible variations of the equipments number and the operational range in intermediate FB system, as well as the different ways of the transition between the intermediate FB system and the front operating system, and then summarize five specific working scenarios. Meanwhile, based on the data from an actual automated terminal, the study establishes a corresponding simulation model and compares the terminal operating efficiency in different plans in terms of the operation time when they have to unload the same amount of containers. On the basis of the above research, the paper identifies the key factors influencing the terminal operational efficiency by means of conducting the sensitivity analysis to the most efficient scenario, thus providing a reference for the practical application of this new kind of terminal. © 2014 IEEE.</t>
  </si>
  <si>
    <t>10.1109/InfoSEEE.2014.6947783</t>
  </si>
  <si>
    <t>Proceedings - 2014 International Conference on Information Science, Electronics and Electrical Engineering, ISEEE 2014</t>
  </si>
  <si>
    <t>Analysis on operation of a low-frame bridge system in automated container terminal</t>
  </si>
  <si>
    <t>REF_475</t>
  </si>
  <si>
    <t>Simulation is an effective means when solving the design and operation problems in modern container terminals. Applying object-oriented discrete event system simulation method, and analyzing the technological process of loading and unloading as well as the operational management in modern container terminals, a simulation model which can describe the whole operation system of container terminals is constructed. To solve the block planning problem of container terminals, the simulation-based optimization (SBO) method is proposed. The parallel computing technology which is realized by MPI is introduced to the solving process, and the computational time and computational cost of SBO are reduced effectively. © 2008 IEEE.</t>
  </si>
  <si>
    <t>10.1109/CCDC.2008.4597924</t>
  </si>
  <si>
    <t>Chinese Control and Decision Conference, 2008, CCDC 2008</t>
  </si>
  <si>
    <t>Parallel simulation-based optimization on block planning of container terminals</t>
  </si>
  <si>
    <t>REF_474</t>
  </si>
  <si>
    <t>In response to the phenomenon that some container terminals are excess capacity and some others are overloaded because of the imbalance of transportation development, this paper proposed a 3D simulation model of operation system for the container terminal apron. First, we study the characteristics of operation system for container terminal apron. Second, a 3D simulation model of terminal apron operation is implemented, which includes sub-model of layout, submodel of setting variables and parameters, sub-model of ship arriving, sub-model of loading and discharging operation, and sub-model of horizontal transport and yard operation, as well as sub-model of 3D animation. Finally, the implemented model is applied in practice to examine the impact of the time of single operation of the quay crane, the number of trucks allocated for each working path and the number of yard cranes equipped for each block on the operation efficiency of terminal apron. And the results show the proposed simulation model performs well that can provide experience and reference for exploring terminal apron effectively. © ECMS Zita Zoltay Paprika, Péter Horák, Kata Váradi,Péter Tamás Zwierczyk, Ágnes Vidovics-Dancs, János Péter Rádics (Editors).</t>
  </si>
  <si>
    <t>10.7148/2017-0190</t>
  </si>
  <si>
    <t>Proceedings - 31st European Conference on Modelling and Simulation, ECMS 2017</t>
  </si>
  <si>
    <t>3D Simulation modeling of apron operation in a container terminal</t>
  </si>
  <si>
    <t>REF_473</t>
  </si>
  <si>
    <t>Dual cycling is an operation technique whereby quay cranes perform loading and unloading operations simultaneously in the same ship bay. In this article, a mixed-integer programming model for quay crane dual-cycling scheduling is developed. The model considers the stowage plan of outbound containers and the operation sequence of quay cranes. To solve the model, a heuristic method, called bi-level genetic algorithm, is designed. Meanwhile, a simulation optimization method integrating the intelligent decision mechanism of the optimization algorithm and evaluation function of simulation model is proposed. Numerical experiments indicate that dual cycling can reduce the operation time of quay cranes compared to the method of scheduling loading and unloading separately. Moreover, the model and algorithms developed in this article can tackle quay crane dual-cycling problem efficiently. © 2015 Taylor &amp; Francis.</t>
  </si>
  <si>
    <t>10.1080/03088839.2015.1043362</t>
  </si>
  <si>
    <t>A simulation optimization approach for solving the dual-cycling problem in container terminals</t>
  </si>
  <si>
    <t>REF_472</t>
  </si>
  <si>
    <t>This paper provides a methodology, supported with a simulation tool, to determine the required stockyard size for dry bulk terminals. To determine the parameters that affect the required storage size, the storage factor was derived analytically. This factor defines the ratio between the annual throughput of a dry bulk terminal and the required stockyard size. Simulation is required for stockyard dimensioning when including the stochastic variations in the ship interarrival times, ship sizes and bulk material storage times. In addition, operational procedures were investigated that potentially increase the storage capacity. In a case study, the proposed approach was demonstrated by sizing the required stockyard area for a specific import terminal. © 2013 Elsevier B.V. All rights reserved.</t>
  </si>
  <si>
    <t>10.1016/j.simpat.2013.12.010</t>
  </si>
  <si>
    <t>Simulation-based determination of the required stockyard size for dry bulk terminals</t>
  </si>
  <si>
    <t>REF_471</t>
  </si>
  <si>
    <t>This paper proposes a discrete event simulation model to simulate and design loading/unloading operations in an intermodal container terminal by means of microscopic stochastic models; the method consists in specifying the models represented by nodes, links and times for the single operations, so as to be able to control critical events, namely the possibility of breakdown or failure that affects ordinary operations in an intermodal container terminal. Each model is specified by definition of the variable and is described in terms of input and output. From the simulations of the models, we derive the output, essential to assess system utility, expressed by loading/unloading operation times.</t>
  </si>
  <si>
    <t>7th International Industrial Simulation Conference 2009, ISC 2009</t>
  </si>
  <si>
    <t>Microsimulation models in intermodal container terminals: Ordinary and perturbed conditions</t>
  </si>
  <si>
    <t>REF_470</t>
  </si>
  <si>
    <t>Booming in the world trade, scarcity of land for yard expansion in many ports, and deployment of new massive megaships have magnified the need for finding better ways of performing container terminal operations. High-density Automated Container Terminals (ACTs), with high operation efficiency and requiring less land, can thus become potential candidates. In this paper, an Automated Guided Vehicle based ACT (AGV-ACT) is proposed and designed to meet the future projection made by several ports. A microscopic simulation model is developed and used to simulate the ACT systems for the projected operational scenario. Some performance criteria are defined and used for performance evaluation. The simulation result shows that the proposed ACT system can meet the future demand of ports by requiring less land and providing higher efficiency. © 2001 EUCA.</t>
  </si>
  <si>
    <t>10.23919/ecc.2001.7075922</t>
  </si>
  <si>
    <t>2001 European Control Conference, ECC 2001</t>
  </si>
  <si>
    <t>Design and simulation of automated container terminal using AGVs</t>
  </si>
  <si>
    <t>REF_469</t>
  </si>
  <si>
    <t>Today the efficiency of container terminals plays a major role in freight transportation. Many existing contributions to the simulation of terminal operations take a macroscopic approach, which serves mainly to support strategic decisions regarding terminal container configurations. Other contributions take a microscopic approach, which allows detailed analysis but may lead to computational problems and is computationally demanding, especially when the resulting models are used to support optimization; hence the main applications of this approach focus on specific operations, aimed at supporting operational management decisions. This paper proposes a macroscopic simulation model, based on a diachronic capacitated flow network model, derived from general assignment models. The proposed model can be fairly easily calibrated against real data and applied to analyze the current configuration, as well as simulate and evaluate alternative design configurations. Results of an application to the Salerno Container Terminal are also reported.</t>
  </si>
  <si>
    <t>Operations Research/ Computer Science Interfaces Series</t>
  </si>
  <si>
    <t>A macroscopic model of a container terminal based on diachronic networks</t>
  </si>
  <si>
    <t>REF_468</t>
  </si>
  <si>
    <t>This paper aims to solve the problem of how to quantify the impact of mitigation strategies on carbon emissions from port operations and shipping inside container terminals without real energy consumption data. In order to cope with complex stochastic processes in container terminals, the problem is carried out by establishing a carbon emission quantification simulation model. Firstly, the carbon emission formulation and mitigation strategies are introduced. Then, a container terminal operation simulation model is constructed considering four kinds of mitigation strategies as inputs: reduced speed in waterway channels, reduced auxiliary time at berth, on-shore power supply and alternative fuels, and increased working efficiency of port equipment. Finally, based on a real container terminal, this paper carried out a variety of simulation experiments and discovered that (1) Reduced speed from 24 to 8 knots can achieve a 48.4% reduction of carbon emissions from ships in waterway channels, and 32.9% from the whole container terminal. (2) Compared with diesel in waterway channels and at berth, the use of LNG can reduce carbon emissions by about 11% for the emissions from ships and 8% for the total emissions. © 2018 Elsevier Ltd</t>
  </si>
  <si>
    <t>10.1016/j.oceaneng.2018.05.054</t>
  </si>
  <si>
    <t>A simulation-based research on carbon emission mitigation strategies for green container terminals</t>
  </si>
  <si>
    <t>The joint scheduling of quay cranes (QCs), yard cranes (YCs), and yard trucks (YTs) is critical to achieving good overall performance for a container terminal. However, there are only a few such integrated studies. Especially, those who have taken the vessel stowage plan (VSP) into consideration are very rare. The VSP is a plan assigning each container a stowage position in a vessel. It affects the QC operations directly and considerably. Neglecting this plan will cause problems when loading/unloading containers into/from a ship or even congest the YT and YC operations in the upstream. In this research, a framework of simulation-based optimization methods have been proposed firstly. Then, four kinds of heuristics/metaheuristics has been employed in this framework, such as sort-by-bay (SBB), genetic algorithm (GA), particle swarm optimization (PSO), and multiple groups particle swarm optimization (MGPSO), to deal with the yard crane scheduling problem (YCSP), yard truck scheduling problem (YTSP), and quay crane scheduling problem (QCSP) simultaneously for export containers, taking operational constraints into consideration. The objective aims to minimize makespan. Each of the simulation-based optimization methods includes three components, load-balancing heuristic, sequencing method, and simulation model. Experiments have been conducted to investigate the effectiveness of different simulation-based optimization methods. The results show that the MGPSO outperforms the others. © 2021 by the authors. Licensee MDPI, Basel, Switzerland.</t>
  </si>
  <si>
    <t>Mathematics</t>
  </si>
  <si>
    <t>Joint scheduling of yard crane, yard truck, and quay crane for container terminal considering vessel stowage plan: An integrated simulation-based optimization approach</t>
  </si>
  <si>
    <t>Each container terminal has attempted to improve its performance through effective strategic and tactical management. Therefore, performance measurement is needed due to the long waiting time of the service process within container terminal operations. We have utilized the system dynamics methodology to assess container terminal performance. Container port enterprises have been influenced by governance, environmental and social components, therefore, the management of those components has significant impacts on the service port's performance. Therefore, the objective of the research is to model the dynamic performance of the container terminal with consideration of environmental, social, and governance components. Furthermore, this dynamic model has presented practical value for increasing the performance of the container terminal operation under capacity constraints. The case study focused on the Indonesia Port Corporation of Jakarta, Indonesia. As a result, the research has identified the influence of container terminal decision variables, such as emissions, employee satisfaction, and good corporate governance, on container terminals, implying their significance in reducing berthing time as the main indicator of container terminal performance. The novelty of this research is to provide a system dynamic model which combines tactical and strategic levels for container terminal operation. © 2024 Jordan Journal of Mechanical and Industrial Engineering. All rights reserved</t>
  </si>
  <si>
    <t>Jordan Journal of Mechanical and Industrial Engineering</t>
  </si>
  <si>
    <t>The paper deals with the problem of minimizing reshuffling of containers in an inland intermodal terminal. The problem is tackled according to a simulation-optimization approach. A simulation model computes the operational costs of containers, related to storage and pick-up operations in an inland yard. The optimization is carried out by two genetic algorithms that work in series. The introduction of the second genetic algorithm and the concept of trust region are the original contributions of the paper to the literature. The proposed optimization method has been tested on a theoretical example of realistic size. Results highlighted that the double genetic algorithm reduces the total operational costs by 7% with respect to the single genetic algorithm. © 2017 IEEE.</t>
  </si>
  <si>
    <t>10.1109/MTITS.2017.8005603</t>
  </si>
  <si>
    <t>5th IEEE International Conference on Models and Technologies for Intelligent Transportation Systems, MT-ITS 2017 - Proceedings</t>
  </si>
  <si>
    <t>Optimization of container operations at inland intermodal terminals</t>
  </si>
  <si>
    <t>REF_464</t>
  </si>
  <si>
    <t>Container stacking and reshuffling are important issues in the management of operations in a container terminal. Minimizing the number of reshuffles can increase productivity of the yard cranes and the efficiency of the terminal. In this research, the authors improve the existing static reshuffling model, develop five effective heuristics, and analyze the performance of these algorithms. A discrete-event simulation model is developed to animate the stacking, retrieving, and reshuffling operations and to test the performance of the proposed heuristics and their extended versions in a dynamic environment with arrivals and retrievals of containers. The experimental results for the static problem show that the improved model can solve the reshuffling problem more quickly than the existing model and the proposed extended heuristics are superior to the existing ones. The experimental results for the dynamic problem show that the results of the extended versions of the five proposed heuristics are superior or similar to the best results of the existing heuristics and consume very little time. © 2015 Copyright © "IIE".</t>
  </si>
  <si>
    <t>IIE Transactions (Institute of Industrial Engineers)</t>
  </si>
  <si>
    <t>REF_463</t>
  </si>
  <si>
    <t>Under the constraints of limited spaces and imbalanced traffic volumes (for both in and out directions) of container gates, reversible lane layouts become an economical and practical way to improve the service level of container terminal systems and make the maximum use of the current terminal resources. Together with a consideration of minimized total costs (both construction and operating) of terminal gate system, this paper first developed an optimization model to decide the number and scheduling rules of the reversible lanes at a terminal gate. A metaheuristic algorithm was built to solve the optimal model. Meanwhile, to reflect the randomness and dynamics property of the terminal gate system in practice, parameters that cannot be calculated from conventional analytic methods are obtained through a simulation model. Finally, a hub container terminal in the northeast of China was employed to verify the effectiveness of the proposed method and provide a theoretical foundation for the construction and management of terminal gate systems.  © 2018 Wenyuan Wang et al.</t>
  </si>
  <si>
    <t>Automation in maritime container terminals is gaining momentum as the advantages in terms of productivity and costs have become apparent. Automated container terminals differ from manual ones by robotized vehicles transporting the containers instead of man-driven vehicles. The design of an automated container terminal remains a daunting task due to the large solution space. In previous work, we introduced the multiple worlds concept to support the design of complex systems. By applying the multiple worlds formalism on the case of automated container terminals, we are able to explore the large solution space in a structured way and have the ability to select the most robust design. In order to use the concept however, a specific component library has to be developed that can be used in a multiple worlds environment. This component library has different abstraction levels that can be used throughout the design process. During the design process, different alternatives are explored by going from a high abstracted model to a more concrete model. At the end of the design process, different concrete models are available. From these concrete models, a thorough selection can be made to finally maintain the most robust design. In this paper, the concept will be discussed and the component library will be presented. © 2010 Simulation Councils, Inc.</t>
  </si>
  <si>
    <t>Proceedings of the 2010 Spring Simulation Multiconference - Emerging M and S Applications in Industry and Academia Symposium, EAIA</t>
  </si>
  <si>
    <t>Supporting the design of automated container terminals with the multiple worlds concept</t>
  </si>
  <si>
    <t>REF_461</t>
  </si>
  <si>
    <t>To address the efficiency and safety challenges arising from the mixed operation of autonomous and human-driven container trucks during the automation transformation of traditional container terminals, this study designed a simulation-based optimization framework for mixed vehicle scheduling. A spatio-temporal graph dynamic scheduling model was constructed, incorporating node capacity, arc capacity, and path constraints, to establish a multi-objective optimization model aimed at minimizing the maximum completion time of internal trucks and the average waiting time of external trucks. An improved NSGA-II algorithm was employed to generate task assignment solutions, which were evaluated using discrete-event simulation, integrating a dynamic programming-based yard block selection strategy for external trucks and a congestion-aware path planning algorithm. Experimental results demonstrate that the dynamic priority strategy effectively adapts to different traffic flow scenarios: under low external truck flow, the autonomous internal truck priority strategy reduces task completion time by 18% to 25%, while under high flow, the external truck priority strategy significantly decreases the average waiting time. The optimal configuration ratio between internal and external trucks was identified as approximately 1:2. This research provides a theoretical basis and decision support for enhancing terminal operational efficiency and automation transformation. © 2025 by the authors.</t>
  </si>
  <si>
    <t>Journal of Marine Science and Engineering</t>
  </si>
  <si>
    <t>Weighing of containers is an important task in container terminals, and can lead to operational bottlenecks if it causes long queues. This study develops a simulation model to compare different container terminal layouts in terms of weighbridge location. The results indicate that when weighbridges are located at the gates rather than inside the terminal area, this causes shorter queues and leads to shorter truck turnaround times. Copyright © 2019 Inderscience Enterprises Ltd.</t>
  </si>
  <si>
    <t>10.1504/IJLSM.2019.100116</t>
  </si>
  <si>
    <t>International Journal of Logistics Systems and Management</t>
  </si>
  <si>
    <t>Optimum weighbridge locations in container terminals</t>
  </si>
  <si>
    <t>REF_459</t>
  </si>
  <si>
    <t>Container unloading/loading at marine container terminals (MCTs) is a key logistic process, to which some research efforts have been addressed by using mathematical programming models formulated in a deterministic-static environment. Vice versa, DES models in a stochastic-dynamic environment are well capable of representing the entire process. Hence, simulation results to be an effective planning and control tool for decision making at all decisional levels. Here we remark that optimal decisions in MCTs may be practically pursued by modelling the whole MCT and focusing attention on the core logistic processes, while representing in a simplified manner the remainder. We focus on the operational management of the cranes deployed along the quay, during the container unloading/loading process at a given number of vessels according to a previously planned berthschedule. We suggest a two-phase approach to the quay crane deployment problem: in the first phase an IP model is used to decide when and how many cranes must be assigned to each vessel; afterwards, we propose a heuristics to determine which specific crane should be assigned to a vessel. We indicate how this approach can be successfully integrated in a DES model, already available, to support dynamic assignment of cranes to berthed vessels. © ECMS.</t>
  </si>
  <si>
    <t>10.7148/2008-0053</t>
  </si>
  <si>
    <t>Proceedings - 22nd European Conference on Modelling and Simulation, ECMS 2008</t>
  </si>
  <si>
    <t>The quay crane deployment problem at a maritime container terminal</t>
  </si>
  <si>
    <t>REF_458</t>
  </si>
  <si>
    <t>Due to more and more awareness of environmental conservancy and sustainable development, automated container terminals (ACTs) have gained increasing attention and become popular worldwide. However, there is a crucial challenge in implementing ACTs, i.e., how to develop terminal layout planning (including terminal layout and facility selection) to realize performance goals. Focusing on this challenge, the aim of this paper is to resolve how to appropriately select terminal layout and facilities in ACTs with respect to various performance criteria. Several research limitations can be gathered from the existing literature: (i) Most of the existing works mainly develop optimization technologies to tackle layout optimization and facility comparison issues within a few types of terminal layout and facilities, yet few researchers have proposed evaluation methods for making selection decisions on terminal planning. (ii) Only a few types of criteria are considered, and requirements and preferences of different participants are ignored, not to say realizing an optimal compromise by employing comprehensive criteria weights in evaluation processes. (iii) New technological improvement in ACTs has not received much attention, and there still lacks a method to precisely quantify the concerned criteria. Accordingly, this paper introduces a criteria system comprising economic, environment, social, resource and performance groups and develops an agent-based simulation method considering different terminal layout and facilities to determine criteria values. A multi-criteria decision making (MCDM) framework is proposed for making the most reasonable and appropriate selection decisions, which employs a variation coefficient weighted method to calculate comprehensive criteria weights, which integrate subjective and objective weights obtained from AHP (analytic hierarchy process) method and entropy weight method. To overcome rank reversal problems in the TOPSIS (technique for order preference by similarity to an ideal solution) method, a new improved rank reversal robust TOPSIS method, called NR-TOPSIS, is utilized to rank and select alternatives, which is ranking stable in the experiments performed. An illustrative application on a container terminal in China demonstrates the effectiveness of the proposed MCDM method and sensitivity and comparative analysis verifies the robustness and stability of the method. © 2023 Elsevier Ltd</t>
  </si>
  <si>
    <t>Expert Systems with Applications</t>
  </si>
  <si>
    <t>Container terminals are expanding and increasing by the year, due to the enormous demand on world trade and cargo exchange in the last couple of decades. Port authorities are seeking different methods to assess and analyze these expansions, without putting themselves at risk; correspondingly they turn into simulation methods to evaluate and consider future expansions and developments. Container terminals usually consist of multiple terminals, each dealing with multimodal transportation systems as they typically involve ships, rail and trucks delivering containers of different sizes to several types of resources including quay cranes, rubber tyred gantry cranes, straddle carriers and more. Simulation can be a useful tool to assist in predicting the behavior of the system and its performance under unforeseen circumstances as well as to study possible modifications to the components of the port system. In this paper, a generic discrete event simulation model is constructed to simulate the different port operations and activities. Specifically, a technique is developed to allow for assigning multiple quay cranes to work in parallel on one single vessel, which is typically the case for larger vessels. ©American Society for Engineering Management, 2014.</t>
  </si>
  <si>
    <t>2014 International Annual Conference of the American Society for Engineering Management - Entrepreneurship Engineering: Harnessing Innovation, ASEM 2014</t>
  </si>
  <si>
    <t>Simulating and analyzing the assignment of cranes to ships according to ship size in a complex container terminal</t>
  </si>
  <si>
    <t>REF_456</t>
  </si>
  <si>
    <t>Purpose – This paper evaluates an alternative queuing concept for marine container terminals that utilize a truck appointment system (TAS). Instead of having all lanes providing service to trucks with appointments, this study considers the case where walk-in lanes are provided to serve those trucks with no appointments or trucks with appointments but arrived late due to traffic congestion. Design/methodology/approach – To enable the analysis of the proposed alternative queuing strategy, the queuing system is shown mathematically to be stationary. Due to the complexity of the model, a discrete event simulation (DES) model is used to obtain the average waiting number of trucks per lane for both types of service lanes: TAS-lanes and walk-in lanes. Findings – The numerical experiment results indicated that the considered queuing strategy is most beneficial when the utilization of the TAS lanes is expected to be much higher than that of the walk-in lanes. Originality/value – The novelty of this study is that it examines the scenario where trucks with appointments switch to the walk-in lanes upon arrival if the TAS-lane server is occupied and the walk-in lane server is not occupied. This queuing strategy/policy could reduce the average waiting time of trucks at marine container terminals. Approximation equations are provided to assist practitioners calculate the average truck queue length and the average truck queuing time for this type of queuing system. © Jing Wang, Nathan N. Huynh and Edsel Pena.</t>
  </si>
  <si>
    <t>10.1108/JILT-05-2022-0003</t>
  </si>
  <si>
    <t>Journal of International Logistics and Trade</t>
  </si>
  <si>
    <t>Land side truck traffic modeling at container terminals by a stationary two-class queuing strategy with switching</t>
  </si>
  <si>
    <t>In this article, a methodology as well as a decision support system for the container storage assignment at a yard of a container terminal is proposed. The motivation of the proposed methodology are the cases of container terminals where inland flows present high levels of uncertainty and variability. This situation is typical of ports in developing countries such as is the case in Latin America where due to lack of automation, there are many paper-based procedures and little coordination with the hinterland. The proposed methodology is based on a dwell time segregated storage policy, considering only import containers (due to the difficulty to determine segregation criteria for this type of containers). Dwell times are discretized in order to determine dwell time classes or segregations, so that containers of the same segregation are assigned to close locations at the yard. As a case study, the port of Arica in Chile is considered. A discrete-event simulation model is also proposed to estimate potential benefits of the proposed methodology. Numerical results for the case study show a good performance, with potential reduction of the rehandles incurred. Copyright © 2017 by SCITEPRESS - Science and Technology Publications, Lda. All rights reserved.</t>
  </si>
  <si>
    <t>ICORES 2017 - Proceedings of the 6th International Conference on Operations Research and Enterprise Systems</t>
  </si>
  <si>
    <t>A dwell time-based container positioning decision support system at a port terminal</t>
  </si>
  <si>
    <t>REF_454</t>
  </si>
  <si>
    <t>Most container terminals in the world today are operating up to their capacities. In this paper, we have developed a decision support system to optimise yard operations by considering all container flows (import, export and transshipment) through the yard with the view to improving terminal performance and efficiency. In another paper, we proposed an optimization model that determines optimal container locations and straddle carrier (SC) movements with the objective of minimizing the overall storage and handling cost of containers. In this paper, a discrete event simulation tool for container terminal operations has been developed with three objectives: (i) to validate the operational plan resulting from the optimization model; (ii) to test the robustness of possible deployment policies for straddle carriers; and (iii) to analyse yard resource requirements for future terminal expansion. The model has been applied to the largest container terminal in Greece-the Port of Piraeus-and computational results are reported for the case study. © 2009 Taylor &amp; Francis.</t>
  </si>
  <si>
    <t>Evaluating straddle carrier deployment policies: A simulation study for the Piraeus container terminal</t>
  </si>
  <si>
    <t>REF_453</t>
  </si>
  <si>
    <t>In this paper, we introduce a storage allocation strategy for a transshipment container hub using a new automated container terminal called the hybrid GRID system. This study provides a novel approach of developing an efficient storage allocation strategy for new terminal concepts so that the complex formulations can be approximated by simple functions that can be quickly computed. Specifically, the storage allocation strategy is derived from an optimal allocation decision learned from a Mixed Integer Programming (MIP) model. Some input parameters of the MIP model are collected from a simulation model. An index measuring the storage location convenience is proposed and we regress this index with important variables to build an empirical model that provides recommendations on where to allocate containers to storage locations. The advantage of using the empirical approach is that it allows for fast computation which is expected in the dynamic and uncertain port environment. Numerical results show that four variables can significantly affect the performance of the allocation decision. This strategy is shown to be robust for different scenarios in terms of terminal configuration and container workload. In addition, the new strategy performs better than the commonly used strategies found in warehousing literatures, and the solution is close to the optimal allocation decision. © 2017 INFORMS.</t>
  </si>
  <si>
    <t>Transportation Science</t>
  </si>
  <si>
    <t>Information-based allocation strategy for grid-based transshipment automated container terminal</t>
  </si>
  <si>
    <t>REF_452</t>
  </si>
  <si>
    <t>In the container terminal, the proportion of heavy trucks at the road intersections for container terminal is large, which is significantly different from the urban road traffic flow mainly dominated by sedan cars. Therefore, we established a microscopic traffic simulation model to analyze the dynamic change of service traffic volume under the different service levels of the large vehicles, and the grading standard on service level of evacuation road intersections for container terminals could also be determined. The results showed that the average delay and the queue length could be effected obviously by the rate of large vehicles when the loading degree was within 0.7~0.9. And the case study demonstrated that compared with the recommended values of evaluation index for road intersection service level from Code for Planning Intersections on Urban Roads, the proposed evaluation values would be more reasonable for container terminals. © 2018 Association for Computing Machinery.</t>
  </si>
  <si>
    <t>10.1145/3177457.3177475</t>
  </si>
  <si>
    <t>ACM International Conference Proceeding Series</t>
  </si>
  <si>
    <t>Standard values of service level of intersection for collection and distribution roads of container terminals</t>
  </si>
  <si>
    <t>REF_451</t>
  </si>
  <si>
    <t>The paper proposes a simulation model used to analyze and testing several operative and security scenarios in a container terminal. In particular all the main state variables describing system behavior has been completely parameterized so the user, by means of a general graphic interface, is able to generate different operative conditions regarding all the port main activities. The user actions are opportunely reflected in the performance indexes output section giving the possibility to analyze system behavior thanks to graphic and statistical tools. © ECMS, 2006.</t>
  </si>
  <si>
    <t>20th European Conference on Modelling and Simulation: Modelling Methodologies and Simulation Key Technologies in Academia and Industry, ECMS 2006</t>
  </si>
  <si>
    <t>REF_450</t>
  </si>
  <si>
    <t>Yard is the central part of the operation process of the whole terminal. In fact, the operation of lots of bulk terminal is unscientific, which severely restricts the turnover efficiency and the throughput of the terminal. Taking the coal terminal as an example and based on its operation process, the dispatching simulation model involving all parts of the operation was established and the rules of use of the yard grids was brought forward. By optimizing the operation strategy and related parameters, it is significant to improve the input quantity of bulk terminal and the turnover efficiency. © 2016, The Editorial Board of Journal of System Simulation. All right reserved.</t>
  </si>
  <si>
    <t>Simulation and optimization for bulk terminal yard scheduling</t>
  </si>
  <si>
    <t>REF_449</t>
  </si>
  <si>
    <t>A modern design approach of dry bulk terminals and developments in terminal maintenance and dust and sound emission control are discussed. The design process of new of upgraded dry bulk terminals should consider several aspect such as the proper logistic control of the terminal, the relation between maintenance of a dry bulk material handling system, its performance and ways to improve the maintenance, and the impact of environmental issues on the design and operation of these terminals. Appropriate logistic control of a terminal is essential to ensure its optimization in terms of utilization of equipment and land. Discrete event simulation can be used as a modern design tool to determine the best operational control of the terminal and the required number of equipment and their capacity related to the requested service level for the terminals customers.</t>
  </si>
  <si>
    <t>Modern dry bulk terminal design</t>
  </si>
  <si>
    <t>REF_448</t>
  </si>
  <si>
    <t>The growth of container transport places increasing demand on traffic, especially in situations where container terminals are located near the city centers. The main problem is traffic congestion on networks caused by the integration of Heavy-Duty Vehicles and urban traffic flows. The main objective is to identify the critical traffic parameters which cause negative organizational and environmental impacts on the existing and future traffic demand. A micro-level traffic simulation model was implemented for the testing of the proposed framework-based supply, demand, and control layers. The model was generated and calibrated based on the example of a mid-size Container Terminal “Brajdica” and the City of Rijeka, Croatia. The results indicate that the critical parameters are Queue Length on the approach road to the Container Terminal and the Stop Delay on the main city corridor. High values of these parameters cause negative effects on the environment because of increased fuel consumption and the generation of extra pollution. Due to this problem, a sensitivity analysis of the traffic system performance has been conducted, with a decrement of Terminal Gate Time distribution by 10%. After re-running simulations, the results indicate the impact of subsequent variation in Terminal Gate Time on the decrease of critical parameters, fuel consumption, and vehicle pollution. © 2020 by the authors. Licensee MDPI, Basel, Switzerland.</t>
  </si>
  <si>
    <t>10.3390/su12229478</t>
  </si>
  <si>
    <t>Sustainability (Switzerland)</t>
  </si>
  <si>
    <t>The microsimulation model for assessing the impact of inbound traffic flows for container terminals located near city centers</t>
  </si>
  <si>
    <t>Significant unproductive and costly waiting occurs during AGV (Automated Guided Vehicle) use, both under the CC (Container Crane) and in the blocks compared to that of a manual yard tractor. A possible solution to this problem is that, in the design of ACT (Automated Container Terminals), ALV (Automated Lifting Vehicles), which can load and unload their own containers, be considered as an alternative. In this paper, the objective is to analyze how increases in the use of ALVs rather than AGVs affects the productivity of ACTs. We derived four inferences regarding the cycle time of vehicles and verified their validity in a simulation. A simulation model of an ACT with perpendicular layout was developed and is described in this paper. From the results of the simulation analysis, we determined the savings effect by cycle time and the required number of vehicles. We demonstrated that the ALV is superior to the AGV in both productivity and efficiency principally because the ALV eliminates the waiting time in the buffer zone. © Springer-Verlag 2004.</t>
  </si>
  <si>
    <t>10.1007/s00291-003-0151-5</t>
  </si>
  <si>
    <t>OR Spectrum</t>
  </si>
  <si>
    <t>Simulation-based performance evaluation of transport vehicles at automated container terminals</t>
  </si>
  <si>
    <t>REF_446</t>
  </si>
  <si>
    <t>Automated Container Terminal (ACT) is a significant part of modern international logistics. Automated Guided Vehicles (AGV) are expected to be widely applied in ACT. We summarize the existing work on AGV dispatching and notice that AGV dispatching is commonly based on static distance. However, the estimation of congestion time is often neglected. In this paper, we build a simulation model of AGV transportation system on the basis of AnyLogic software. We propose a dynamic time estimation based AGV dispatching algorithm, and utilize the simulation model to evaluate the performance of the algorithm. Compared with static algorithms, the dynamic time estimation based AGV dispatching algorithm is able to decrease the start-stop frequency and reduce the congestion of road network. Simulation results prove that the dynamic time estimation based AGV dispatching algorithm can effectively enhance the utilization rate of QCs and YCs, and shorten the task finishing time. © 2018 Technical Committee on Control Theory, Chinese Association of Automation.</t>
  </si>
  <si>
    <t>10.23919/ChiCC.2018.8483770</t>
  </si>
  <si>
    <t>Chinese Control Conference, CCC</t>
  </si>
  <si>
    <t>REF_445</t>
  </si>
  <si>
    <t>Container terminals are complex systems where many interrelated operations have to be conducted to achieve the best possible throughput and customers' satisfaction. Simulation models of such systems have to be based on suitable modelling paradigm. The paper presents utilisation of agent-based architecture ABAsim for creation of two-layer agent model of container terminal operation that reflects the hierarchical structure of the modelled system. Brief description of all employed model agents and their mutual cooperation and communication is provided. Presented model has been successfully implemented and integrated into existing transportation terminal simulation tool Villon. © 2014 IEEE.</t>
  </si>
  <si>
    <t>10.1109/SAMI.2014.6822416</t>
  </si>
  <si>
    <t>SAMI 2014 - IEEE 12th International Symposium on Applied Machine Intelligence and Informatics, Proceedings</t>
  </si>
  <si>
    <t>Modelling of container terminals using two-layer agent architecture</t>
  </si>
  <si>
    <t>REF_444</t>
  </si>
  <si>
    <t>Recently, Internet of Things (IoT) has found applications in several areas that require effective communication to handle uncertainties such as in smart ports, smart factories, and smart logi stics. This can also be extended to solve the problems of equipment downtime and the conflict with operations scheduling in container terminals. This study proposes a simulation based operations scheduling systemthat considers predictive maintenance and downtime schedulesbased on real-time sensors readings within an IoT framework. Specifically, it enables communication between the maintenance department, the control departments, and all entities in the yard blocks of a container terminal. This is to ensure reliability in scheduling operations, eliminate communication delay between equipment breakdown and the maintenance department thus, enabling prompt equipment maintenance or repair. The proposed approach uses sensors connected to the entities in the yard block and enable communication between the several nodes and department using wireless sensor network. It is expected the key performance measures (e.g., vessel berthing time, truck turnaround time, and yard cranes throughput) of the container terminal due the implementation of the proposed approach. The main contribution of this paper is to investigate the possible chances of applying IoT-related technologies in the field of container terminals planning and management. © 2020 Towards the Digital World and Industry X.0 - Proceedings of the 29th International Conference of the International Association for Management of Technology, IAMOT 2020. All rights reserved.</t>
  </si>
  <si>
    <t>Towards the Digital World and Industry X.0 - Proceedings of the 29th International Conference of the International Association for Management of Technology, IAMOT 2020</t>
  </si>
  <si>
    <t>An iot based system predictive maintenance and operations scheduling system for yard crane control in container terminals</t>
  </si>
  <si>
    <t>REF_443</t>
  </si>
  <si>
    <t>Due to a long-lasting increase in global trade, only interrupted by the late-2000s economic crisis, container traffic has grown dramatically. As a result, new terminals have opened and existing terminals face much higher container handling than before. In order to meet these challenges, one of the biggest container terminals in Turkey has begun to reconsider its terminal operations and to achieve improvements of its overall logistics performance. Because the factors impacting the terminal's performance are highly interrelated, a simulation model was developed to analyze the terminal operations, to identify potential bottleneck resources and to highlight directions for the future development of the configuration and the operational control system. For a long-established terminal like the one considered in this study the options for improving the overall performance are limited by the geographical dimensions and by the existing terminal equipment. By use of the simulation model the terminal operations are evaluated under different workload scenarios and alternative configurations are tested in order to support strategic decisions on the terminal's development. © 2011 Springer Science+Business Media, LLC.</t>
  </si>
  <si>
    <t>Flexible Services and Manufacturing Journal</t>
  </si>
  <si>
    <t>Strategies for improving a long-established terminal's performance: A simulation study of a Turkish container terminal</t>
  </si>
  <si>
    <t>REF_442</t>
  </si>
  <si>
    <t>Queuing problems present a gap in the availability of knowledge at port container terminals. This study is focused on various types of services for port container terminal queuing system. The purpose of this paper is to introduce a methodology to decrease waiting time without any reduction in productivity. A new approach for servicing at the queue is proposed, and with this idea waiting time will be reduced without any change in productivity or additional cost. To execute this approach in a port container terminal, berthing areas of the port are simulated with ARENA 13.5, and this new approach is implemented in the model. The result of this change are compared with results of a port container terminal as case study. With implementing this method the waiting time is reduced dramatically and productivity increased slowly. © (2014) Trans Tech Publications, Switzerland.</t>
  </si>
  <si>
    <t>10.4028/www.scientific.net/AMM.621.253</t>
  </si>
  <si>
    <t>Applied Mechanics and Materials</t>
  </si>
  <si>
    <t>Improvement in queuing network model to reduce waiting time at berthing area of port container terminal via discrete event simulation</t>
  </si>
  <si>
    <t>REF_441</t>
  </si>
  <si>
    <t>Aiming at the problem of charging scheduling in automated container terminals, a dynamic charging scheduling strategy is proposed based on the traditional AGV leave when fully charged strategy combined with a new type of horizontal transport vehicle named Unmanned Truck. The strategy is divided into three parts: vehicle rotation, push charging and pull charging. The vehicle rotation strategy divides the vehicles into working vehicles and non-working vehicles for partition management. When the power of the charging vehicle reaches the threshold, the Pull charging strategy will be activated to improve the robustness of the port to deal with unexpected tasks. Finally, the simulation software Anylogic is used to simulate and model the port transportation tasks under different charging scheduling strategies to verify the actual performance of the dynamic charging scheduling strategy. © The Institution of Engineering &amp; Technology 2023.</t>
  </si>
  <si>
    <t>10.1049/icp.2024.3640</t>
  </si>
  <si>
    <t>IET Conference Proceedings</t>
  </si>
  <si>
    <t>Simulation Analysis of Dynamic Scheduling for Uncertain Task in Automated Container Terminal</t>
  </si>
  <si>
    <t>REF_440</t>
  </si>
  <si>
    <t>This paper presents a scalable and flexible agent-based simulation (ABS) model for the planning and control of AGVs at automated container terminals (ACTs). A comprehensive and generic multi-agent system is presented to effectively manage the container handling process between the quay and stacks of ACTs. Specifically, we design an agent-based Traffic Manager, which serves as a control application layer for all processes related to the horizontal transport of containers using AGVs. Our ABS model provides a playground to easily test out the effectiveness of different types and layouts of ACTs. © 2018 IEEE</t>
  </si>
  <si>
    <t>10.1109/WSC.2018.8632529</t>
  </si>
  <si>
    <t>A simulation model for the planning and control of AGVs at automated container terminals</t>
  </si>
  <si>
    <t>REF_439</t>
  </si>
  <si>
    <t>Container terminal ports are essential in supporting a country's logistics performance. Thus, it is necessary to improve the port's operation to increase its effectiveness. Port operations involve a lot of stakeholders and variables within the system that require all supporting components to be analysed, so a systemic approach is needed. This study investigates an effective decision to improve the performance of container port operations that utilize the system dynamics methodology. Port logistics performance is represented by the leading indicators of port service (service time and stacking yard usage). The results indicate that gate-out rates of container import flow and inaccurate information sharing related to container stacking systems impact port berthing time and yard occupancy ratio. © INTERNATIONAL JOURNAL OF INDUSTRIAL ENGINEERING.</t>
  </si>
  <si>
    <t>International Journal of Industrial Engineering : Theory Applications and Practice</t>
  </si>
  <si>
    <t>REF_438</t>
  </si>
  <si>
    <t>This study introduces a discrete event simulation model for the analysis of bulk carrier unloading and material transport, storage and discharge at Europe's largest alumina refinery, RUSAL Aughinish Alumina. With novel features such as the integration of additional unloading functionality, auxiliary infrastructure units, as well as efficient maintenance scheduling into the material processing chain, the model is used to predict and evaluate the performance gain in the port system in the context of long-term investment and planning scenarios. Promising strategic directions in terms of large scale performance indicators such as berth occupancy and costs have been identified. © 2016 Elsevier Ltd</t>
  </si>
  <si>
    <t>This paper focuses on modelling and performance evaluation of an Intermodal Freight Transport Terminal (IFTT), the rail-road inland terminal of a leading Italian intermodal logistics company. The IFTT is regarded as a discrete event system and is modelled in a timed Petri net framework. By means of suitable performance indices, we simulate the Petri net model and evaluate the operational performance of the transport system. This allows assessing the efficiency level of the terminal and identifying its criticalities and bottlenecks. Further, the model allows evaluating different solutions to the recognized criticalities under alternative scenarios (e.g., when inflow traffic increases and congestions may occur). © 2014 IEEE.</t>
  </si>
  <si>
    <t>10.1109/CoDIT.2014.6996915</t>
  </si>
  <si>
    <t>Proceedings - 2014 International Conference on Control, Decision and Information Technologies, CoDIT 2014</t>
  </si>
  <si>
    <t>Simulation and performance evaluation of an Intermodal terminal using Petri Nets</t>
  </si>
  <si>
    <t>REF_436</t>
  </si>
  <si>
    <t>The extension of the Bremerhaven harbour and of the river require large-scale compensation measures in a spatial correlation. Compensation sites are the two large areas "Große Luneplate" south of Bremerhaven and the coastline Wurster "Küste", which allow the establishment of large areas for nature conservation with the aim to improve the conditions of the natural balance and of the visual landscape. In the course of the planning approval procedure CT 4 summer polders outside the dykes are opened for tidal currents along the Wuster coastline, and on the site of the "Große Luneplate" comprises a large tidal polder, which is being established within the dyke and is connected to the Weser River via a large flood barrier, together with a adjacent large area of meadows and ditches with a regulated water level. Following planning approval in June 2004 the extensive implementation planning began. The landscape conservation support plan had to be complemented in the field of the landscape design in order to fulfil the requirements of the planning approval, and it had be coordinated with the responsible authorities. The implementation planning and the subsequent placing procedure could be completed in 2006 for the Wurster coastline and in 2008 for the Große Luneplate, and construction measures could be started. Early compensation measures and extensifications of land use before construction led to improvements for nature and landscape already parallel to the construction of the container port.</t>
  </si>
  <si>
    <t>German</t>
  </si>
  <si>
    <t>Naturschutz und Landschaftsplanung</t>
  </si>
  <si>
    <t>Large-scale compensation at the lower Weser river - Implementation planning for the 4th stage of construction of the container terminal (CT 4) in the Weser estuary close to Bremerhaven; [Großräumige kompensation an der unterweser - Ausführungsplanung für den 4. Bauabschnitt des containerterminals (CT 4) im Weser-ästuar bei Bremerhaven]</t>
  </si>
  <si>
    <t>REF_435</t>
  </si>
  <si>
    <t>This paper summarizes the application of dynamic discrete event simulation to study automated terminal operations and performance from the earliest stages of and throughout the planning process. A series of fast-tuned, agile, specifically designed simulation models were utilized to answer critical planning questions and to provide insights into operation processes. Individual models were created for quay cranes, a single storage block configuration, transfer and truck staging areas, the landside traffic system, and intermodal facility. These simulation exercises demonstrated that using specifically designed, agile simulation analyses not only provided timely results, but proved appropriate and useful in the development and planning of modern automated container terminals and intermodal facilities. © 2013 American Society of Civil Engineers.</t>
  </si>
  <si>
    <t>10.1061/97807784413067.186</t>
  </si>
  <si>
    <t>Ports 2013: Success Through Diversification - Proceedings of the 13th Triennial International Conference</t>
  </si>
  <si>
    <t>Agile simulation analysis for automated container terminal and intermodal facility development and planning</t>
  </si>
  <si>
    <t>REF_434</t>
  </si>
  <si>
    <t>This paper examines the impact of reducing ship turnaround time on the performance of container terminals, with a focus on leveraging artificial intelligence (AI) to enhance operational efficiency. It presents a novel framework combining machine learning algorithms with discrete-event simulation to predict ship turnaround times using historical data. The proposed approach is empirically validated with data from the Algiers Port Container Terminal, achieving an exceptionally high predictive precision of 0.9991. Simulating terminal operations with both real and predicted data offers valuable insights into improving performance. The results demonstrate that minimizing empty trips and reducing the waiting times for handling equipment significantly enhance turnaround time. Additionally, optimizing terminal operations reduces carbon emissions, aligning with sustainable development objectives in port logistics. This study proposes a novel integration of machine learning and simulation, demonstrating its effectiveness in optimizing ship turnaround times and reducing carbon emissions. By integrating machine learning and discrete-event simulation, this research offers new perspectives on port logistics, contributing to the advancement of sustainable and efficient terminal operations. © 2025 by the authors.</t>
  </si>
  <si>
    <t>10.3390/su17072927</t>
  </si>
  <si>
    <t>Machine Learning and Simulation for Efficiency and Sustainability in Container Terminals</t>
  </si>
  <si>
    <t>Background: In 2017, smaller container ports handled approximately 22% of total containerized cargo. Nowadays liner operators are calling on those ports with larger ships and demanding fast and efficient turnaround of the ships in port. This is possible only if the berth has the right capacities, is working properly and achieves a good productivity level. Methodology: Productivity level does not depend only on the quay crane capacities but also the transfer mechanisation, of which the main function is to serve quay cranes on one side and yard cranes on the other side. Choosing the correct type and number of vehicles to transfer container units from berth to yard has become a very important decision in every container terminal. Results: In small container terminals yard trucks represents the most common type of transfer mechanization. That is why this research is based on the allocation of the right number of yard trucks to quay cranes in order to assure better productivity levels in the berth and yard subsystems. For this purpose, a discrete-event simulation modelling approach is used. The approach is applied to a hypothetical small container terminal, which includes operations on the berth-yard-berth relation. © 2021, The Author(s).</t>
  </si>
  <si>
    <t>10.1186/s12544-021-00482-6</t>
  </si>
  <si>
    <t>European Transport Research Review</t>
  </si>
  <si>
    <t>Determining the optimal number of yard trucks in smaller container terminals</t>
  </si>
  <si>
    <t>The integrated scheduling problem of container terminals has attracted significant attention in recent years. Uncertainty is frequent in real port terminals, which can increase the scheduling difficulties. It is worthwhile to study the establishment of a more realistic experimental platform that simulates the actual operation scene of the terminal. Visual simulation can play a greater role in this problem than numerical simulation by considering various uncertainties. In this paper, we build a visual simulation platform based on AnyLogic to solve the integrated scheduling problem of quay cranes, intelligent guided vehicles, and yard cranes in a U-shaped container terminal. Uncertain operation times existing in real ports are considered and set in the platform. The simulation platform is used to compare two kinds of robust scheduling plan generation methods: the robust-proactive method considering anti-cascade effects and robustness index proposed by Cai et al and a well-known robust optimization method. Experiments results demonstrate that the RPM-AERI achieves a smaller makespan and provides more effective decision support for port managers. © The Institution of Engineering &amp; Technology 2023.</t>
  </si>
  <si>
    <t>10.1049/icp.2024.3718</t>
  </si>
  <si>
    <t>Simulation-based Multi-equipment Integrated Scheduling for a U-shaped Container Terminal Considering Uncertain Operation Times</t>
  </si>
  <si>
    <t>REF_431</t>
  </si>
  <si>
    <t>As the decarbonization strategies of automated container terminals (ACTs) continue to advance, electrically powered Battery-Automated Guided Vehicles (B-AGVs) are being widely adopted in ACTs. The U-shaped ACT, as a novel layout, faces higher AGV energy consumption due to its deep yard characteristics. A key issue is how to adopt charging strategies suited to varying conditions to reduce the operational capacity loss caused by charging. This paper proposes a simulation-based optimization method for AGV charging strategies in U-shaped ACTs based on an improved Proximal Policy Optimization (PPO) algorithm. Firstly, Gated Recurrent Unit (GRU) structures are incorporated into the PPO to capture temporal correlations in state information. To effectively limit policy update magnitudes in the PPO, we improve the clipping function. Secondly, a simulation model is established by mimicking the operational process of the U-shaped ACTs. Lastly, iterative training of the proposed method is conducted based on the simulation model. The experimental results indicate that the proposed method converges faster than standard PPO and Deep Q-network (DQN). When comparing the proposed method-based charging threshold with a fixed charging threshold strategy across six different scenarios with varying charging rates, the proposed charging strategy demonstrates better adaptability to terminal condition variations in two-thirds of the scenarios. © 2024 by the authors.</t>
  </si>
  <si>
    <t>Systems</t>
  </si>
  <si>
    <t>Modern container terminal faces the pressure of providing both efficient services and adequate facilities parallel with the demanding needs from the customers. This paper presents the application of system dynamics simulation in addressing both the issues at the operational and strategic level. The operational level model is used to aid terminal operators on daily planning by understanding the relationship and interdependency between the berth and yard. The strategic level model on the other hand is used for capacity planning. This study bridged the gap between the literatures by integrating both operational and strategic level issues in a system dynamics model. Copyright © 2011 Inderscience Enterprises Ltd.</t>
  </si>
  <si>
    <t>10.1504/IJLSM.2011.043103</t>
  </si>
  <si>
    <t>A system dynamics approach to operational and strategic planning of a container terminal</t>
  </si>
  <si>
    <t>REF_429</t>
  </si>
  <si>
    <t>Productivity is an extremely important factor in the competitiveness of a container terminal. Productivity itself is largely influenced by the handling mechanisation, the main task of which is to serve the quay cranes on one side and the yard cranes on the other. One of the most effective types of mechanisation in this segment is shuttle carriers, which are used primarily in the larger terminals. The objective of this study was to determine if they can also be used effectively in smaller container terminals with different yard layouts. Therefore, this study shows the impact of the selected layout and handling mechanisation on terminal productivity. The focus is on the berth productivity, as it has the greatest impact on the handling of the vessel in the port. To this end, a discrete-event simulation modelling approach was used in a container terminal of small capacity. The performed simulations included all operations between berth and yard, focusing on the correct allocation of shuttle carriers to ensure optimal results on the sea side of the terminal. The result showed that the use of shuttle carriers brings a substantial performance effect to the container terminal and also has a different effect considering different terminal layouts in terminals with an annual throughput not exceeding 1 million TEU. © 2023 by the authors.</t>
  </si>
  <si>
    <t>The most important issue on port production is scheduling. The efficiency of port production is mainly determined by scheduling plan. DBS simulation technique, dynamic graph simulation technique and microscopic transportation simulation technique were combined, out a Scheduling Simulation Model for container terminals. The objects, techniques, modeling process and results of the model were analyzed. The study of this model will improve the decision level on container terminal scheduling.</t>
  </si>
  <si>
    <t>Simulation study on microscopic production scheduling of container terminals</t>
  </si>
  <si>
    <t>REF_427</t>
  </si>
  <si>
    <t>This paper presents a conceptual framework for the development of seaport simulation models. The framework has been successfully used to model a bulk coal handling terminal, a seaport container terminal and an airport intermodal center. Included in this paper are a description of the modeling framework, descriptions of the application implementations and conclusions.</t>
  </si>
  <si>
    <t>Huntsville Simulation Conference, HSC 2008</t>
  </si>
  <si>
    <t>Conceptual framework for simulating seaport terminals</t>
  </si>
  <si>
    <t>REF_426</t>
  </si>
  <si>
    <t>This paper presents a decision making approach based on Data Envelopment Analysis (DEA) for determining an efficient container handling strategy at an automated port container terminal. Containers are unloaded from the ship by quay cranes and transported to the storage area by Automated Guided Vehicles (AGVs). The objective of this paper is to show how dispatching rules and a number of employed AGVs affect measures of effectiveness of container handling process and to compare their efficiencies using DEA. It was shown that simulation modeling and efficiency evaluation of AGV fleet operations can be useful for the planning purpose. © 2011 Published by Elsevier Ltd.</t>
  </si>
  <si>
    <t>Procedia - Social and Behavioral Sciences</t>
  </si>
  <si>
    <t>REF_425</t>
  </si>
  <si>
    <t>Products can be transported in containers from one port to another. At a container terminal these containers are transshipped from one mode of transportation to another. Cranes remove containers from a ship and put them at a certain time (i.e., release time) into a buffer area with limited capacity. A vehicle lifts a container from the buffer area before the buffer area is full (i.e., in due time) and transports the container from the buffer area to the storage area. At the storage area the container is placed in another buffer area. The advantage of using these buffer areas is the resultant decoupling of the unloading and transportation processes. We study the case in which each container has a time window [release time, due time] in which the transportation should start. The objective is to minimize the vehicle fleet size such that the transportation of each container starts within its time window. No literature has been found studying this relevant problem. We have developed an integer linear programming model to solve the problem of determining vehicle requirements under time-window constraints. We use simulation to validate the estimates of the vehicle fleet size by the analytical model. We test the ability of the model under various conditions. From these numerical experiments we conclude that the results of the analytical model are close to the results of the simulation model. Furthermore, we conclude that the analytical model performs well in the context of a container terminal. © 2005 INFORMS.</t>
  </si>
  <si>
    <t>REF_424</t>
  </si>
  <si>
    <t>The enhancement of traffic flow of international container is increasing every year along with the economic growth that continues to grow as the same way. Therefore, the increase on the productivity of container terminals in serving the flow of container traffic is needed. This study will design models and simulate containers stacking in stacking yard as an attempt to increase container terminals productivity. A good container stacking rules will reduce the reshuffling, which is a waste in container operational. The result of this study based on discrete event simulation model as an evaluation tool of container stacking method based on the productivity of container terminals. Thus, this study is expected to provide a comprehension of the relationship between productivity and methods of stacking containers in stacking yard. © IEOM Society International. © IEOM Society International.</t>
  </si>
  <si>
    <t>Proceedings of the International Conference on Industrial Engineering and Operations Management</t>
  </si>
  <si>
    <t>Model and simulation design of stacking rules in container terminal with discrete event simulation approach</t>
  </si>
  <si>
    <t>REF_423</t>
  </si>
  <si>
    <t>Combined with the success of containerization, globalization has brought about tremendous increases in container transport around the world. Increased container transport leads to larger container ships, which increase demands on seaport container terminals and their equipment. In this situation, the success of container terminals depends on a fast transshipment process combined with reduced costs. It is thus necessary to optimize the three main logistic processes at seaport container terminals: loading and unloading container ships, storing containers, and receiving and delivering containers to and from the hinterland. In another process, the internal transport subsystem ensures the interconnection between previous logistic activities. The optimization of an internal transport cycle is presented for a marine container terminal managed by straddle carriers (SCs), which are among the most used technologies for container transfer. Three subsystems are analyzed in detail: landside transportation, container storage in the yard, and quayside transportation. The conflicts and decisions that arise from operations in these subsystems are analyzed, and optimization algorithms are proposed. Moreover, a simulation is run on Spain's Barcelona Container Terminal to test the, algorithms and compare different SC operation strategies (e.g., single cycle versus double cycle) and different-sized fleets of handling equipment The simulation model is explained in detail, and the main decision-making algorithms from the model are presented and formulated.</t>
  </si>
  <si>
    <t>REF_422</t>
  </si>
  <si>
    <t>Disruption often occurs in both land-side and sea-side operations at a container terminal, causing substantial interference of scheduled operations and poor green performance. The land-side disruption is rarely researched, and this paper addresses the ordinary level of such disruption where typically some truck arrivals deviate from their schedule in the appointment system. The aim is to find a response strategy that can maintain high resilience ability of the system in neutralizing the impact of disruptions. First, we consider different levels of late or early arrivals, as well as non-appointed arrivals at a container terminal that is running an appointment system. Second, we propose some response strategies to cope with different levels of disruptions, and evaluate their resilience ability with two Key Performance Indicators (KPIs): total waiting time of on-time trucks and total idling emissions of all trucks, in order to balance the service quality to punctual arrivals and green performance of the whole system. Third, we conduct a sensitivity analysis using a discrete event simulation to understand the performance of the proposed strategies. Considering both KPIs, the best strategy in most scenarios is a combined one based on priority and yard-crane moving distance; its performance depends primarily on the concentration level of container locations and secondly on the system utilization. In the other scenarios that have low arrival punctuality, the best strategy could focus purely on yard-crane moving distance, especially when the first KPI is given lower weight than the second one. © 2016 Elsevier Ltd</t>
  </si>
  <si>
    <t>Transportation Research Part D: Transport and Environment</t>
  </si>
  <si>
    <t>REF_421</t>
  </si>
  <si>
    <t>The development from a completely manual brownfield terminal towards a highly automated one proceeds in a number of steps. To take the first steps, it is crucial to know how introducing Automated Yard Tractors (AYTs) influences port productivity at Mixed-Traffic Terminals (MTTs). In these terminals, (non-automated) road trucks and yard tractors share the same infrastructure. This paper employs discrete-event simulation in order to analyze the performance of a brownfield terminal where manual yard tractors are replaced by AYTs. The results look promising: high utilization rates are reached in MTTs, with a modest number of AYTs. In fact, these utilization rates are reached with the same number of yard tractors as are typically used in comparable terminals with manually operated vehicles. Special attention is paid to the influence of road trucks on terminal congestion during peak hours. © 2020 IEEE.</t>
  </si>
  <si>
    <t>10.1109/WSC48552.2020.9384068</t>
  </si>
  <si>
    <t>Mixing it Up: Simulation of Mixed Traffic Container Terminals</t>
  </si>
  <si>
    <t>REF_420</t>
  </si>
  <si>
    <t>The subject of this study is a rail-road container terminal. The processes of the container handling and the downtime of the container trains and trucks in the terminal has been discussed in the study. The container terminal is considered as a M/M/n queueing system with incoming flow - the container trains and trucks. The container cranes in the terminal are the service facilities. The periods for loading and unloading of the container trains and trucks and additional handling of containers in the container yard have been considered in the study. A model of the container handling processes in the container terminal has been developed. The main technological options of container handling according to the type of container flow - import and export or transit and the type of handling - direct "train - truck" or vice versa or indirect "train - container yard - truck" or vice versa have been described in the model. The downtime of the container trains and trucks for loading and unloading in depend on the technological conditions of the terminal could be studied through the model. The downtime periods were calculated in the study considering the container flows, handling time of the containers, number of trains, number of handling equipment, duration of working time of the terminal, etc. The features and the influence of the studied parameters affect the downtime have been taken into account. The restrictions on the number of trains and the duration of the container terminal's operation during the day have been determined through the results obtained in the study. © 2022 Kaunas University of Technology. All rights reserved.</t>
  </si>
  <si>
    <t>Transport Means - Proceedings of the International Conference</t>
  </si>
  <si>
    <t>Simulation Model of a Rail-Road Container Terminal Described as a Queueing System</t>
  </si>
  <si>
    <t>REF_419</t>
  </si>
  <si>
    <t>Long queues at gates is a common problem in container terminals, which embarrasses the urban traffic. In order to solve this issue, we should first develop an accurate model to estimate truck queue length. To this end, a model based on a non-stationary M(t)/ Ek/c(t) queuing system is set to study the gate system. In this paper, we propose a queue length estimation model using the point-wise stationary fluid flow approximation. Numerical experiments are carried out to show some of the characteristics of marine terminal gate congestion and to quantify truck waiting. Simulation results showed that the proposed estimation model provides a quite accurate estimation of the truck queue length. © 2018 IEEE.</t>
  </si>
  <si>
    <t>10.1109/ITMC.2018.8691278</t>
  </si>
  <si>
    <t>2018 IEEE International Conference on Technology Management, Operations and Decisions, ICTMOD 2018</t>
  </si>
  <si>
    <t>REF_418</t>
  </si>
  <si>
    <t>Development of a container terminal (CT) closely deals with the efficiency of operating systems. This paper proposed a model to decide optimum investment alternatives to improve CT productivity. The proposed approach incorporates the parameters such as number of quay cranes, total length of a quay, yard trucks and yard cranes. The objectives of the model are minimizing the average ship turnaround time while maximizing the container throughput generated by the terminal. The methodology behind the model includes Discrete Event Simulation Model, data envelopment analysis (DEA) and cost-efficiency analysis. Considering container ship visits to Container Terminal Alpha (CT-A), the proposed model is demonstrated with 16 different investment scenario along with 10-months recorded operational data. The results addressed the Scenario LENG-2 (extent current total length of quays from 1.560 meters to 2.000 meters) as the optimal feasible solution for an investment in existing conditions. The model is also considered to besides contributions to investment decisions in CT, the developed framework might be extended to other transportation infrastructures. © 2018, © 2018 Informa UK Limited, trading as Taylor &amp; Francis Group.</t>
  </si>
  <si>
    <t>REF_417</t>
  </si>
  <si>
    <t>This paper describes a conceptual approach and presents a first study for analysing the economic performance of a container terminal design, using operational indicators. The study consists of the extension of an operational simulation model into a model allowing economic evaluation of the terminal in terms of cash flow generated. The concepts and preliminary results of the study are presented here. The paper argues that the integration of the economic evaluation into the simulation model might give rise to problems with aggregation, but will also lead to the development of a potentially very interesting tool that can be used to assess advanced operational and financial strategies, such as dynamic pricing. © 2004, Copyright Taylor &amp; Francis Group, LLC.</t>
  </si>
  <si>
    <t>10.1080/13675560412331298509</t>
  </si>
  <si>
    <t>International Journal of Logistics Research and Applications</t>
  </si>
  <si>
    <t>Economic analysis of a container terminal simulation</t>
  </si>
  <si>
    <t>REF_416</t>
  </si>
  <si>
    <t>The effect of the dynamic container truck configuration on container terminal handling operation was analyzed. A simulation model was constructed to describe the whole operation system of container terminals, in which container ships, anchorages, berths, quay cranes, gantry cranes, internal container trucks, external container trucks and yard gates were all included. In order to solve the dynamic container truck configuration problem of container terminals, a simulation-based optimization (SBO) method was proposed. The MPI-based parallel computing technology was introduced to the solving process and the computing time of SBO was reduced effectively.</t>
  </si>
  <si>
    <t>Parallel simulation-based optimization on dynamic truck configuration of container terminals</t>
  </si>
  <si>
    <t>REF_415</t>
  </si>
  <si>
    <t>A freight terminal is a key node in a transportation network and the transit time of containers through this terminal represents one of the most relevant bottleneck in logistic chains. The system performance reduction and the corresponding increase of transit time is often due to the increase of the freight flow without a corresponding increase of stacking and handling capacity. For this purpose it was decided to approach the problem by a discrete event simulation model, in order to reproduce the activities carried out inside an intermodal terminal, to calculate the total transit time and to identify the bottlenecks. The transit time of a cargo unit in a terminal is the summation of times required for the development of each phase of the process (waiting time + operational time). Therefore, the first step was the identification of the main activities and the analysis of waiting and operational phases, in order to quantify the times of each phase. For modelling the software Planimate® was used. Planimate® allows the simulation of a process as a set of discrete events, in series or in parallel, through the use of hierarchical networks. In order to optimise handling operations on containers, different scenarios were simulated with various fleets of trailers and front cranes to investigate the corresponding variations of performance indicators. For the application of the model an Italian case study was chosen: the container terminal inside the harbour of Livorno (Darsena Toscana Terminal).</t>
  </si>
  <si>
    <t>European Transport - Trasporti Europei</t>
  </si>
  <si>
    <t>Intermodal terminal simulation for operations management</t>
  </si>
  <si>
    <t>REF_414</t>
  </si>
  <si>
    <t>(1) Background: The reliability of port equipment is of significant interest to industry stakeholders due to the economic and logistical factors governing the operation of maritime container terminals. Failures of key equipment like quay cranes can halt operations or cause economically significant delays. (2) Methods: The impact assessment of these disruptive events is conducted through terminal activity modeling and discrete-event simulation of internal processes. The system’s steady-state or transient condition, induced by disruptive events, is statistically assessed within a set of scenarios proposed by the authors. (3) Results: The Heidelberg–Welch and Geweke tests enabled the evaluation of steady-state and transient conditions within the modeled system, which was affected by the reduced reliability of container-handling equipment. (4) Conclusions: The research findings confirmed the usefulness of modeling and simulation in assessing the impact of equipment reliability on maritime container terminal operations. If the magnitude of the disruptive event exceeds the terminal’s absorption capacity, the system may become blocked or remain in a transient state without the ability to recover. This underscores the necessity of analyzing the reliability of critical handling equipment and implementing corrective maintenance actions when required. © 2025 by the authors.</t>
  </si>
  <si>
    <t>10.3390/systems13030213</t>
  </si>
  <si>
    <t>Assessing the Influence of Equipment Reliability over the Activity Inside Maritime Container Terminals Through Discrete-Event Simulation</t>
  </si>
  <si>
    <t>In this paper, an extended Generalized Stochastic Petri Net (e-GSPN) was proposed for effective modeling of complex container terminal logistics systems (CTLS). To cope with their complexity and implement rule based dynamic scheduling of CTLS, a special type of place called rule place and a special type of transition called decision transition are integrated in GSPN using object oriented approaches. Guided by this e-GSPN method, a simulation model was built as an example to illustrate the modeling approaches. According to actual operations in one container terminal of Shanghai port in China, we give a case study to analyze the relationships between decision rules and collisions. © 2006 IEEE.</t>
  </si>
  <si>
    <t>10.1109/SOLI.2006.236002</t>
  </si>
  <si>
    <t>2006 IEEE International Conference on Service Operations and Logistics, and Informatics, SOLI 2006</t>
  </si>
  <si>
    <t>Modeling and analysis of container terminal logistics system by extended generalized stochastic petri nets</t>
  </si>
  <si>
    <t>REF_412</t>
  </si>
  <si>
    <t>This paper introduces an approach for generating scenarios of sea port container terminals. The scenarios can be used as input data for simulation models. Furthermore, they can be employed as test data for algorithms to solve optimization problems in container terminal logistics such as berth planning and crane scheduling. A scenario consists of arrivals of deep sea vessels, feeder ships, trains, and trucks together with lists of containers to be loaded and unloaded. Moreover, container attributes such as size, empty, reefer, weight, and destination are included. The generator is based on a large number of parameters that allow the user to produce realistic scenarios of any size. The purpose of this paper is to outline the parameters that are important to produce realistic scenarios of high practical relevance and to propose an algorithm that computes scenarios on the basis of these parameters. The generator discussed here has been developed within the simulation project at the HHLA Container-Terminal Altenwerder in Hamburg, Germany. Nevertheless, its structure is general enough to be applied to any other terminal as well. © 2005 Springer-Verlag Berlin Heidelberg.</t>
  </si>
  <si>
    <t>10.1007/3-540-26686-0_4</t>
  </si>
  <si>
    <t>Container Terminals and Automated Transport Systems: Logistics Control Issues and Quantitative Decision Support</t>
  </si>
  <si>
    <t>Generating scenarios for simulation and optimization of container terminal logistics</t>
  </si>
  <si>
    <t>REF_411</t>
  </si>
  <si>
    <t>Automobile Ro-Ro is an important form of automobile logistics. Our automobile Ro-Ro is developing rapidly, but its business process is more traditional. Service level is difficult to adapt to the modern logistics needs. This paper analysis the business processes based on the investigation of automobile Ro-Ro yard. Through the simulation modeling methods, the bottlenecks are exposed. Then it proposes the improvement measures and implements business process optimization. Finally, this paper analyzes the modified process by simulation to prove the rationality of the process improvement.</t>
  </si>
  <si>
    <t>10.3963/j.issn.1006-2823.2011.04.041</t>
  </si>
  <si>
    <t>Research on business process simulation and process reengineering in automobile Ro-Ro terminals</t>
  </si>
  <si>
    <t>REF_410</t>
  </si>
  <si>
    <t>The container terminal which is the center of world trade needs more attention in this regard. The ability of the container terminal to absorb ships and to move goods is a key factor in maximizing performance. The Utility Terminal formed by this process becomes a container terminal. Terminal technology encourages optimization of terminal performance by using a simulation model. This study aims to determine the value of terminal utility based on the initial process of container terminals using software. The research has been carried out by making a container terminal model using the parameters of arrival, loading and unloading time and departure to measure the amount of utility. The maximum Scheduled Utilization value obtained in the simulation was 87.7% and in real conditions it was 74.7%. The average value of Scheduled Utilization obtained in the simulation is 76.5% while in real conditions it is 72%. This indicates that the container terminal simulation model is in accordance with the conceptual terminal in general and can be used as a reference.  © 2021 Author(s).</t>
  </si>
  <si>
    <t>10.1063/5.0063470</t>
  </si>
  <si>
    <t>AIP Conference Proceedings</t>
  </si>
  <si>
    <t>Study on the simulation model of container handling utility at the container terminal</t>
  </si>
  <si>
    <t>REF_409</t>
  </si>
  <si>
    <t>In order to analyze the influence of container slot assignment strategy of container terminal with automated yard on terminal operation, we apply the computer simulation method combined with the actual projects to study. We summarize the common slot assignment strategies from related research and operating project, establish the system simulation models of container terminals in Peru and Greece based on Flexterm simulation platform, simulate the processes of automated yard and ship-to-shore operating under different slot assignment strategies, and collect the ratios of efficiency and states of main equipment after simulation tests. The results show that there are no specific patterns for the influence of slot assignment strategy on terminal operation, and the slot assignment strategy should be carefully chose according to the actual condition of research program and research target. © 2021 Port and Waterway Engineering - Editorial Department. All rights reserved.</t>
  </si>
  <si>
    <t>Port and Waterway Engineering</t>
  </si>
  <si>
    <t>Comparison of container slot assignment strategy of automated yard for container terminal based on software Flexterm; [基于Flexterm软件的集装箱码头 自动化堆场箱位分配策略对比]</t>
  </si>
  <si>
    <t>REF_408</t>
  </si>
  <si>
    <t>The railway container terminal is an essential pillar of the intermodal transport network. Although many researches using mathematical models have conducted in this field, most of which only focus on the local operation instead of the global system. Based on this, this project proposes the study of simulation and optimization. Taking Wuhan Railway Container Terminal as an example, FlexSim software is used to design a complete container terminal operation scheduling simulation process and to explore the impact of different resource allocations. It provides scientific support for the selection of operation mode and resource allocation of railway container terminals. © Beijing Paike Culture Commu. Co., Ltd. 2024.</t>
  </si>
  <si>
    <t>10.1007/978-981-99-9311-6_19</t>
  </si>
  <si>
    <t>Lecture Notes in Electrical Engineering</t>
  </si>
  <si>
    <t>Simulation-Based Resource Allocation for Railway Container Terminals</t>
  </si>
  <si>
    <t>REF_407</t>
  </si>
  <si>
    <t>The integration of control studies during project implementation contributes to a more effective impact regulation, in particular to a control of the effectiveness of compensation measures. Using the example of a long-term monitoring of compensation measures for the extension of the container terminal in Bremerhaven (CT III) the study investigates options and limits of effect controls in practice. The results show that implementation deficits can be avoided, development measures can be improved and professional bases for the optimisation of future compensation measures can be established if frame-work conditions for the monitoring are favourable. Recommendations for objectives and content of future control studies are given.</t>
  </si>
  <si>
    <t>Ecological effect controls and their contribution to more effective impact regulation - Compensation measures for the extension of a container terminal in Bremerhaven; [Ökologische Wirkungskontrollen und ihr Beitrag zur Effektivierung der Eingriffsregelung: Ergebnisse einer Studie zu den Kompensationsmaßnahmen zur Erweiterung des Containerterminals in Bremerhaven (CT III)]</t>
  </si>
  <si>
    <t>REF_406</t>
  </si>
  <si>
    <t>It is appropriate to study the logistics operations of container terminals using the simulation method. However, most of the literature that has incorporated the simulation approach was focused mainly on the analysis of input and simulation results, and only gave general discussions on the design of a model structure. With more focus on model structure than input and output analysis, this paper provides useful alternatives for practitioners to design simulation models for container terminals. Necessary adaptation and extensions would enable this model to be applied to a broader range of logistics systems of container terminals. © ASCE.</t>
  </si>
  <si>
    <t>10.1061/40996(330)263</t>
  </si>
  <si>
    <t>Proceedings of the 8th International Conference of Chinese Logistics and Transportation Professionals - Logistics: The Emerging Frontiers of Transportation and Development in China</t>
  </si>
  <si>
    <t>Simulation model for logistics system of container terminal based on EXTEND</t>
  </si>
  <si>
    <t>REF_405</t>
  </si>
  <si>
    <t>Truck appointment systems facilitate coordination between container terminals and drayage trucks in container pick-up operation reservation. However, in many cases, trucks with a reservation do not arrive at the scheduled appointment. As the number of no-shows increases, the container terminal's productivity will plummet, and drayage trucks that failed to get reservations will lose their opportunity to get service. This research proposes an overbooking reservation mechanism (ORM) to alleviate the negative impact of these no-shows. This research scrutinizes the detailed process mapping of the existing reservation mechanism, proposes an ORM, and conducts agent-based simulations to evaluate the ORM's performance against the regular and go-show reservation mechanisms at different levels of no-shows and working occupancies. The application of an ORM can improve productivity and service levels while minimizing such negative externalities as queue length, overtime, and greenhouse gas emissions. High overtime intensities only appear when the container terminal's workload is exceptionally high, at 200% of maximum capacity, with a low level of no-shows. Even in exceptionally high demand conditions, the drayage trucks wait only up to 16 min before receiving service. © 2021 The Authors</t>
  </si>
  <si>
    <t>Asian Journal of Shipping and Logistics</t>
  </si>
  <si>
    <t>Event log obtained from Port Container Terminal (PCT) Surabaya is an asynchronous event log. This event log needs to be run in a simulation to reflect the real world performance which contains both time and cost. From the event log we gathered, we use forecast methods to predict the number of container for the following month. Several forecasting methods are evaluated; whereas discrete event simulation and agent based simulation are compared to handle asynchronous processes. The results of the experiments show that moving average have the lowest MSE compared to other forecast methods such as Simple Exponential Smoothing, Double Exponential Smoothing, and Linear Regression. Then, from the forecast results we successfully generate the event log for the following month and simulate it using agent based simulation and Discrete Event Simulation. The results of the simulation show that agent based simulation can handle the communication process which discrete event simulation cannot handle. Both the simulation results are depicted in Gantt charts. © 2018 IEEE.</t>
  </si>
  <si>
    <t>10.1109/ICOIACT.2018.8350717</t>
  </si>
  <si>
    <t>Comparison of discrete event simulation and agent based simulation for evaluating the performance of port container terminal</t>
  </si>
  <si>
    <t>REF_403</t>
  </si>
  <si>
    <t>Turkey has concentrated its efforts in developing sound projects for economical, safe and environmentally apt transportation of the prominent oil reserves of Iraq Basin markets through the Iraq- Turkey Crude Oil Pipe Line. Turkey as a reliable and stable transit country providing low cost and secure transmission of energy from the Iraq-Turkey Crude Oil Pipe Line Project by benefiting from her geographical advantages. In this study AWESIM simulation modeling program has been used for the BOTAS Ceyhan Marine Terminal of Turkey. This modeling evaluated for 365 days and each ship has approached the port with intervals of 12- 24, 12-36, 24-36 and 24-48 hours. Stormy days in a year have been assumed as 30. Each ship demands tug and pilotage service when approaching and leaving the port. As a result, this research has been done to determine the transportation capacity of the port by evaluating the number of ships approaching the port, the extend of queue of ships waiting for the tug service and space for approaching at the port, the amount of time ships queued by the port. To this end, the minimum and maximum transportation capacity has been spotted. © 2013 Taylor &amp; Francis Group.</t>
  </si>
  <si>
    <t>10.1201/b14961-25</t>
  </si>
  <si>
    <t>Marine Navigation and Safety of Sea Transportation: Advances in Marine Navigation</t>
  </si>
  <si>
    <t>Simulation of BOTAS ceyhan marine terminals</t>
  </si>
  <si>
    <t>REF_402</t>
  </si>
  <si>
    <t>This paper summarizes recent experience in the application of discrete event simulation emulation software, and 3D visualization to evaluate and validate the performance of several highly advanced and automated container terminals. The combination of densified container stacking and advanced robotized container operations has created greater operational complexity, while at the same time creating opportunities to optimize processes and improve efficiencies. Using advanced discrete simulation during the planning of greenfield terminals or simulation for the optimization of existing terminals provides an agile approach that can be used to evaluate alternatives faster, in greater depth, and with higher confidence, compared to conventional methodologies. The simulations described in this paper were performed using an agile project approach, where multiple iterations were executed during the planning phase and eventually used in the holistic terminal evaluation and optimization and sensitivity simulation analyses to test and evaluate the robustness of the preferred terminal solution. © 2019 American Society of Civil Engineers.</t>
  </si>
  <si>
    <t>10.1061/9780784482629.026</t>
  </si>
  <si>
    <t>Ports 2019: Port Planning and Development - Papers from Sessions of the 15th Triennial International Conference</t>
  </si>
  <si>
    <t>Discrete Event Simulation Case Studies in Planning Advanced Container Terminals</t>
  </si>
  <si>
    <t>REF_401</t>
  </si>
  <si>
    <t>Optimal planning of a container terminal is a strategic measure to ensure its operation efficiency that is the key concern of intermodal chains' organization. To support the strategic planning of small and medium European ports in nowadays competition environments, the TRAPIST suite, a set of comprehensive and easy-to-use tools, was developed. This paper will introduce the developments of its simulation component - Terminal Simulation System (TSS). Conforming to the suite's technical specifications, the TSS's architecture was introduced to highlight the framework for the constructional modules, the operational shell, the interfaces, and the system indicators. Basing on the discrete-event simulation theories and methods, as well as the characteristics of the simulation shell, the process-oriented programming method was utilized in modules' developments. Following the validations of TSS, an example case will be illustrated to show the values of its applications. © 2005 Taylor &amp; Francis Group.</t>
  </si>
  <si>
    <t>Proceedings of the 12th International Congress of the International Maritime Association of the Mediterranean, IMAM 2005 - Maritime Transportation and Exploitation of Ocean and Coastal Resources</t>
  </si>
  <si>
    <t>REF_400</t>
  </si>
  <si>
    <t>The efficient operation of container terminals facilitates the seamless flow of goods across borders. New technologies such as big data, data mining, and simulation models, have emerged in the maritime industry, enabling optimization and performance evaluation. This study investigated how data science using operational data can improve container terminal operations, drive efficiency, enhance throughput, and bolster competitiveness in the shipping sector. Decision-making within container terminals, particularly in determining optimal container stacking locations, poses a significant challenge owing to the multitude of factors at play. By analyzing the datasets, new strategies and policies can be simulated to minimize container rehandling operations. This study focuses on the Hakata International Container Terminal in Japan, where daily operational data from rubber-tired gantry equipment are used to investigate container movements. A significant reduction in the total number of movements required to perform container-handling operations was demonstrated by implementing data-driven strategies and simulation modeling. © 2024 The Authors</t>
  </si>
  <si>
    <t>Asian Transport Studies</t>
  </si>
  <si>
    <t>A simulation optimization method is presented to realize the optimal planning on the load and unload system on container terminal. At first, considering the uncertain and stochastic activities in the system, the discrete-event system's mathematical simulation model including the planning objectives and constraints according to the analysis on the operation requirement of the load and unload system is built. Then, to solve the optimization problem, the optimization method is presented by Tabu algorithm. The optimal objective is to minimize the total cost of operation and ensure the desired operation efficiency. The actual performance of port testifies the correctness of the model and the reliability of the method.</t>
  </si>
  <si>
    <t>Dalian Ligong Daxue Xuebao/Journal of Dalian University of Technology</t>
  </si>
  <si>
    <t>Research on simulation optimization of container handling system on container terminal</t>
  </si>
  <si>
    <t>REF_398</t>
  </si>
  <si>
    <t>Dispatching of Automated Guided Vehicle (AGV) is a key decision problem in Automated Container Terminal. In view that existing event-driven AGV dispatching methods may lead to remarkable quay crane waiting for tardy AGV, and existing once-for-all dispatching methods are not suitable for real automated container terminal, a simulation-based AGV dispatching method is proposed in this paper. In this method, AGV arrival time at quay cranes is repeatedly re-estimated after allocation, and AGVs are allocated in a way that waiting time of quay cranes could be minimized. Results of comparative experiments shows that, this simulation-based method outperforms some other rule-based method, in perfectly keeping quay cranes out of waiting for tardy AGVs, and in slightly shortening finish time of vessel handling. This method is now applied to some real automated container terminal. © 2019 IEEE.</t>
  </si>
  <si>
    <t>10.1109/ICACMVE.2019.00085</t>
  </si>
  <si>
    <t>Proceedings - 2019 International Conference on Advances in Construction Machinery and Vehicle Engineering, ICACMVE 2019</t>
  </si>
  <si>
    <t>Simulation-based AGV dispatching in automated container terminal</t>
  </si>
  <si>
    <t>REF_397</t>
  </si>
  <si>
    <t>In container terminal operations, the delay of containers delivery is a common problem that confronts both the terminal operator and the customers represented by the trucking companies. One source of this delay is due to the long waiting time of the transporting trucks at container terminals (CTs). In this paper, the problem of long turn time for external trucks is studied. An extensive review of the previous work available in the literature that focused on landside problems in CTs is presented. After identifying some gaps, we conclude that the arrival pattern of external trucks and its impact on the truck turn time needs to be more understandable. A discrete event simulation model is developed to study the effect of various truck arrival patterns on the truck turn time in CTs. The simulation results showed how the arrival patterns influence the turn time of external trucks. Moreover, we suggest how CT operators can reduce the turn times without reducing the terminal gates' productivity and recommend how to consider the arrival pattern in designing an appointment system for external trucks in CTs. © ECMS Thorsten Claus, Frank Herrmann, Michael Manitz, Oliver Rose (Editors).</t>
  </si>
  <si>
    <t>10.7148/2016-0080</t>
  </si>
  <si>
    <t>Proceedings - 30th European Conference on Modelling and Simulation, ECMS 2016</t>
  </si>
  <si>
    <t>A simulation based study of the effect of truck arrival patterns on truck turn time in container terminals</t>
  </si>
  <si>
    <t>REF_396</t>
  </si>
  <si>
    <t>This paper addresses the need by terminal operators to optimise the yard crane operations at seaport terminals. It introduces a novel agent-based approach to model yard cranes, where each crane acts as an autonomous agent that seeks to maximise its utility. A key component of the proposed agent-based simulation model is a set of utility functions that properly capture the essential decision making attributes of crane operators in choosing the next truck to serve. Simulation results reveal important insights about distance-based service strategy and time-based service strategy and how they can be used together to accomplish the terminal's operational objectives. The developed simulation tool can be used by terminal management to make strategic planning and/or real-time operational decisions to improve and optimise yard crane operations. © 2012 Inderscience Enterprises Ltd.</t>
  </si>
  <si>
    <t>10.1504/IJSSCA.2012.045265</t>
  </si>
  <si>
    <t>International Journal of Six Sigma and Competitive Advantage</t>
  </si>
  <si>
    <t>A novel methodology for modelling yard cranes at seaport terminals to support planning and real-time decision making</t>
  </si>
  <si>
    <t>REF_395</t>
  </si>
  <si>
    <t>The growth of containerization and transporting goods in containers has generated capacity and equipment allocation problems in maritime ports. Container terminals represent complex systems with dynamic interactions between the various handling, transportation and storage units, and uncertainties about future events. Maritime container terminal operates at full capacity if the arrival of vessels to berth is uniform according to its capacity and equipment operating at constant parameters. Since there are random factors both on the arrival of ships and on the operation of equipments, the paper analyzes the influence of these factors on the terminal capacity. Therefore, we proposed a generic simulation model structure for the comparative assessment of the measures of performance of maritime terminal in ideal conditions (without perturbations in the terminal operation) and in different statistical assumptions of vessels inflows to berth and number of containers to unload per vessel. Based on event driven and virtual reality technology, the handling technology simulation model is developed using ARENA simulation software. The model is set-up by combining three basic functions: transport, transfer, and stacking. The transport activity is assumed by the flows of the container vessels and trucks. Different characteristics of the arrival flows are assumed (intervals between transport units, number of containers to unload). Quay cranes provide the container transfer. The stacking areas consist in one capacity area on the quay for the quick transfer on trucks. The simulation results lead to the conclusion that it can be achieved berth high occupancy and minimization of vessels waiting time at the port if the vessels inflows follow a distribution with small variance around the ideal value. © (2014) Trans Tech Publications, Switzerland.</t>
  </si>
  <si>
    <t>10.4028/www.scientific.net/AMR.837.786</t>
  </si>
  <si>
    <t>Advanced Materials Research</t>
  </si>
  <si>
    <t>Transshipment modeling and simulation of container port terminals</t>
  </si>
  <si>
    <t>REF_394</t>
  </si>
  <si>
    <t>This paper aims to identify the optimal number of vehicles in environments with shuttle transportation tasks. These environments are very common industrial settings where goods are transferred repeatedly between multiple machines by a fleet of vehicles. Typical examples of such environments are manufacturing factories, warehouses and container ports. One very important optimization problem in these environments is the fleet sizing problem. In real-world settings, this problem is highly complex and the optimal fleet size depends on many factors such as uncertainty in travel time of vehicles, the processing time of machines and size of the buffer of goods next to machines. These factors, however, have not been fully considered previously, leaving an important gap in the current research. This paper attempts to close this gap by taking into account the aforementioned factors. An evolutionary algorithm was proposed to solve this problem under static and uncertain situations. Two container ports were selected as case studies for this research. For the static cases, the state-of-the-art CPLEX solver was considered as the benchmark. Comparison results on realworld scenarios show that in the majority of cases the proposed algorithm outperforms CPLEX in terms of solvability and processing time. For the uncertain cases, a high-fidelity simulation model was considered as the benchmark. Comparison results on realworld scenarios with uncertainty show that in most cases the proposed algorithm could provide an accurate robust fleet size. These results also show that uncertainty can have a significant impact on the optimal fleet size. © 2016 IEEE.</t>
  </si>
  <si>
    <t>10.1109/MCI.2015.2501552</t>
  </si>
  <si>
    <t>IEEE Computational Intelligence Magazine</t>
  </si>
  <si>
    <t>Evolutionary Fleet Sizing in Static and Uncertain Environments with Shuttle Transportation Tasks-The Case Studies of Container Terminals [Application Notes]</t>
  </si>
  <si>
    <t>REF_393</t>
  </si>
  <si>
    <t>The generality abstract is the necessary process for general simulation modeling. A novel generality abstract methodology was proposed, which provided a clear overview and framework for general simulation modeling for container terminals logistics operations system based on the discrete event dynamic systems. Firstly, identifying critical issues in the simulation modeling was broken through, on the basis of which the objects and essential elements of generality abstract were created. Secondly, by means of summarizing and refining on them, the primary attribute and characteristics of generality were abstracted and corresponding artificial rules in the systems were established. Thirdly, the main elements of generality abstract were defined as logic elements and event elements in accordance with the rules and standard legend set was accordingly designed to depict generality abstract systematically, which could be used to describe the simulation logic in programming by computer programmers and model a real system via operational tasks by non-programmers. Finally, Container Terminals of Phase I of Shanghai Yangshan Port was simulated using the simulator. The simulation output shows the effectiveness of the generality abstract methodology of general simulation modeling.</t>
  </si>
  <si>
    <t>Generality abstract methodology of general simulation modeling for container terminals logistics operations system</t>
  </si>
  <si>
    <t>REF_392</t>
  </si>
  <si>
    <t>Container transportation is an efficient and large-scale transportation mode, and it and information network have become the two foundations of the international logistics system. Due to the development of container transportation and the progress of computer simulation software, it has been more and more accepted by port managers to use computer simulation to transform and expand old ports and simulate the planning of new ports, so as to provide decision-making basis for port decision makers. This article studies the application of Witness in the logistics management of container terminal, and studies the allocation of reasonable berths under a certain throughput and the reasonable scheduling of quayside cranes under a certain berth. For the analysis of discrete event dynamic system, Witness can combine queuing theory and Petri net to establish a computer simulation model, and the simulation model of terminal loading and unloading system reflects the terminal loading and unloading process. Through the simulation of the real container terminal company, the excellent performance of Witness professional software in terminal logistics operation simulation can be reflected. © 2023 Copyright held by the owner/author(s).</t>
  </si>
  <si>
    <t>10.1145/3648050.3648089</t>
  </si>
  <si>
    <t>Research on the Application of Witness in Logistics Management of Container Terminals</t>
  </si>
  <si>
    <t>REF_391</t>
  </si>
  <si>
    <t>The primary objective of this research was to implement a more efficient handling strategy in the container terminal storage yard at the Baltic Hub Container Terminal (BHCT). Following an analysis of the current logistics system associated with starboard-side mooring, an attempt was made to shift the mooring to the port side. Two routing strategies corresponding to the analysed mooring operations were tested using a developed model. Simulations were conducted to enable a comparison of various handling strategies that were suitable for the mooring arrangements and equipment under investigation. This analysis was based on reliable information obtained from a real process. Evaluative criteria for examining the impact of changing the handling strategy of internal movement vehicles (IMVs) in the terminal storage yard in terms of process efficiency included the total time and distance of container transportation and the truck utilisation level. A new route for IMVs was developed to accommodate the changed mooring operation. This adjustment aimed to enhance the discharge process and to reduce the distance travelled, resulting in a reduction in fuel consumption. The shorter travel distance also positively impacted productivity, and contributed to a reduction in operating costs. The changes to the mooring arrangement directly resulted in a 10% increase in the quay crane gross productivity, measured in moves per hour (mph). Given that many ports do not pay attention to how ships are moored, the case study and analysis presented here can help staff quickly improve their handling strategy and productivity, thus increasing the port's competitiveness.  © 2024 Karol Moszyk et al., published by Sciendo.</t>
  </si>
  <si>
    <t>Polish Maritime Research</t>
  </si>
  <si>
    <t>As a result of a major growth in world trade, importance of the container terminals, which are the exit gates of international maritime trade, has been emphasized and the competition between these terminals has increased. In recent years, increasing competition in shallow seas, which have low berth depth and intensive trade, has caused terminal managers to investigate how the strategic decisions affect the future development of terminal operations. Due to their low berth depth, container terminals in the feeder ports of shallow seas are built artificially near coastlines. The most common layouts found in these terminals are Π, L, π, or Ψ. In this paper, simulation models were developed for the container terminals to examine the effect of transporter dispatching rules and resource allocation strategies in terms of total annual handling amount. According to the results, terminal performance is significantly affected by terminal layout design under different transporter dispatching rules and allocation strategies. © 2014 Elsevier Ltd. All rights reserved.</t>
  </si>
  <si>
    <t>10.1016/j.cie.2014.05.025</t>
  </si>
  <si>
    <t>Computers and Industrial Engineering</t>
  </si>
  <si>
    <t>Layout analysis affecting strategic decisions in artificial container terminals</t>
  </si>
  <si>
    <t>REF_389</t>
  </si>
  <si>
    <t>The utility of the container terminal has become quite remarkable all over the world. It is vital to maximize the utility of the container yard and the terminal gate system. With the ever-increasing importance of containerization in the world, more than 60% of cargo is transported by containers, this ratio even reaches 100% in some highly economic developed and political stable places. It is estimated that, the total quantity of containerization in the world will increase by 10% every year before 2020. The aim of this work is to be used as a decision support system tool when designing and constructing container terminals. The article focuses on optimizing the staging of containers within a terminal gate system. A Port within the main Land China is being used as a test bed to demonstrate the Simulation Model based on Queuing Theory. The analysis considers both the facility and the setting of the terminal gate system by considering the Discrete Event System Theory and the terminal gate system in order to make the daily operation more suitable for the terminal. The research combines the computer simulation method and the actual complex discrete event system, and identifies the most suitable setting and the theoretical maximum capacity for the terminal. Normally, the usage ratio (the busy time) should be around 75%, the simulation findings, the channel performance measures indicators are the usage ratio and the average waiting time the proper number of channel is 3 for entrance channel, and 2 for exit channel with usage ratios of 74% and exit usage of 55%, allocating 3 Entrance Channel (gates) and 2 Exit Channels (gates). Both the entrance and exit saved 2 channels. Both the capacity and channel number calculation are treated as a reference for the future decision maker when it comes to the container terminal construction. © by author(s).</t>
  </si>
  <si>
    <t>10.19030/jabr.v33i3.9949</t>
  </si>
  <si>
    <t>Journal of Applied Business Research</t>
  </si>
  <si>
    <t>Container – Terminal – Gate – System optimization</t>
  </si>
  <si>
    <t>REF_388</t>
  </si>
  <si>
    <t>Threat and risk scenarios, which could led to disruptions at ports, are manifold. To understand the behavior of the port under disruptions, simulations are used by port operators and researchers. This leads to the need of a simulation of the container terminal which could include disruptions and look at process performance for a vulnerability assessment. The paper describes this development of a port simulation for the flexible integration of disruptions. First, a graphical process model is established, the main processes of the process model are transferred into a simulation model and then the influence from disruptions in sub-processes on the main process are examined. The consideration of disruptions in the main and sub-processes, leads to a variety of multilayered models. To reduce complexity and for more transparency and overview, a concentration on single scenarios is expedient. The paper provides first insight in how the models could be designed. © 2023 The Authors.</t>
  </si>
  <si>
    <t>10.46354/i3m.2023.dhss.003</t>
  </si>
  <si>
    <t>Proceedings of the International Defense and Homeland Security Simulation Workshop, DHSS</t>
  </si>
  <si>
    <t>Container terminal simulation for vulnerability assessment</t>
  </si>
  <si>
    <t>REF_387</t>
  </si>
  <si>
    <t>To improve operation efficiency of container terminal, the shortest work and delay time strategy of container ships on terminals was proposed based on the entire container terminal simulation by using Witness simulation software. Some indexes including total cost, berth and equipment utilization rate, ship average wait time and work time, container settling time were calculated. Bottleneck analysis of container terminals logistics system was carried out and optimized. Results show that the proposal with dynamic view can improve the operation flow of container terminal, which verifies its wide application value.</t>
  </si>
  <si>
    <t>Dalian Haishi Daxue Xuebao/Journal of Dalian Maritime University</t>
  </si>
  <si>
    <t>Simulation of container terminals logistics system</t>
  </si>
  <si>
    <t>REF_386</t>
  </si>
  <si>
    <t>This paper describes the structure and employment of a discrete-event simulation model for the real-life detailed processes performed during the handling of import containers. In particular, the model focuses on the storage assignment problem at the operational level in a container terminal with a multiple-berth structure. A novel approach using a hierarchical structure is adapted to partition the assignment problem into two sub-problems and solve each of them using separate decision rules. Suggested storage policies are evaluated in view of the overall performance of the container terminal. Different traffic densities are simulated to reflect the real-time environment. Simulation runs emphasize the bottleneck at the quay cranes. Results confirm that quay-crane efficiency may be improved by using appropriate storage policies. Strategies that adopted the integrated assignment method at the first level, where travel distances and gantry-crane workloads are considered, performed best at coping with this bottleneck. At the second level of the hierarchy, by using a segregated strategy, in which estimated container departure dates are considered, the number of reshuffles is reduced. © 2010, SAGE Publications. All rights reserved.</t>
  </si>
  <si>
    <t>REF_385</t>
  </si>
  <si>
    <t>Purpose – The purpose of this research is to develop a set of policies to solve the decarbonization issues of container terminal clusters. Design/methodology/approach – This research used the system dynamics approach to develop an integrated multi-issue policy model. Findings – We found that the mandatory use of low-sulfur fuel can decrease GRDP and container throughput and hinder the growth of companies and workers due to high fuel prices. However, it can contribute to a significant reduction in SOx emissions. Research limitations/implications – This research used the Tanjung Priok container terminal cluster in Jakarta, Indonesia, as its case study. Hence, some findings are attached to the characters of this container terminal cluster. Practical implications – We found that an integrated policy approach that can tackle technical and social issues can be used to develop a novel approach to solving the complexity that arises in a complex socio-technical system such as container terminal clusters. Social implications – As this research used the socio-technical systemic point of view, we found that solutions for major environmental issues should be coupled with significant social programs to (at least) maintain the welfare of society. Originality/value – This research used the integrated complexity model approach, system dynamics, which can significantly increase society’s ability to tackle multi-issue problems such as decarbonizing container terminal clusters. © Armand Omar Moeis, Chatarina Petra Salim, Andri Dwi Setiawan and Arry Rahmawan Destyanto.</t>
  </si>
  <si>
    <t>10.1108/JILT-10-2024-0077</t>
  </si>
  <si>
    <t>Developing a decarbonization policy model of container terminal clusters</t>
  </si>
  <si>
    <t>In this paper, we claim that the operation schedule of automated stacking cranes (ASC) in the storage yard of automated container terminals can be built effectively and efficiently by using a crane dispatching policy, and propose a noisy optimization algorithm named N-RTS that can derive such a policy efficiently. To select a job for an ASC, our dispatching policy uses a multi-criteria scoring function to calculate the score of each candidate job using a weighted summation of the evaluations in those criteria. As the calculated score depends on the respective weights of these criteria, and thus a different weight vector gives rise to a different best candidate, a weight vector can be deemed as a policy. A good weight vector, or policy, can be found by a simulation-based search where a candidate policy is evaluated through a computationally expensive simulation of applying the policy to some operation scenarios. We may simplify the simulation to save time but at the cost of sacrificing the evaluation accuracy. N-RTS copes with this dilemma by maintaining a good balance between exploration and exploitation. Experimental results show that the policy derived by N-RTS outperforms other ASC scheduling methods. We also conducted additional experiments using some benchmark functions to validate the performance of N-RTS. © 2021 by the authors. Licensee MDPI, Basel, Switzerland.</t>
  </si>
  <si>
    <t>Applied Sciences (Switzerland)</t>
  </si>
  <si>
    <t>Noisy optimization of dispatching policy for the cranes at the storage yard in an automated container terminal</t>
  </si>
  <si>
    <t>Control of logistics operations at container terminals is an extremely complex task, especially if automated guided vehicles (AGVs) are employed. In AGV dispatching, the stochastic nature of the handling systems must be taken into account. For instance, handling times of quay and stacking cranes as well as release times of transportation orders are not exactly known in advance. We present a simulation study of AGV dispatching strategies in a seaport container terminal, where AGVs can be used in single or dual-carrier mode. The latter allows transporting two small-sized (20 ft) or one large-sized (40 ft) container at a time, while in single-mode only one container is loaded onto the AGV irrespective of the size of the container. In our investigation, a typical on-line dispatching strategy adopted from flexible manufacturing systems is compared with a more sophisticated, pattern-based off-line heuristic. The performance of the dispatching strategies is evaluated using a scalable simulation model. The design of the experimental study reflects conditions which are typical of a real automated terminal environment. Major experimental factors are the size of the terminal and the degree of stochastic variations. Results of the simulation study reveal that the pattern-based off-line heuristic proposed by the authors clearly outperforms its on-line counterpart. For the most realistic scenario investigated, a deviation from a lower bound of less than 5% is achieved when the dual-load capability of the AGVs is utilized.</t>
  </si>
  <si>
    <t>10.1007/s00291-006-0054-3</t>
  </si>
  <si>
    <t>Strategies for dispatching AGVs at automated seaport container terminals</t>
  </si>
  <si>
    <t>REF_382</t>
  </si>
  <si>
    <t>The evolution of market features imposed by globalization and production delocalization phenomena in the last decades, has determined the need for ports to quickly react to market changes in order to capture and manage the increasing quantity of global freight. Moreover, due to the highly dynamic and stochastic context, ports have to face with a real time planning of their work so to perform operations in the most efficient way. For instance, a ship's delay or a truck's strike can modify the operative scenario, consequently imposing to rescheduling container terminal activities. In this context the System Dynamics (SD) paradigm can usefully help in efficiently modeling the port activities in order to take the right decisions under different scenarios. Moreover the system dynamics model can be efficiently integrated with an ERP system in order to receive real time data and, through a suitable SD decision cockpit - which allows an easy management of huge amount of dynamic data -, carry out what-if analysis to take the most appropriate decision for a particular port context. The paper presents the case of Voltri Terminal Europe - VTE, one of the biggest container terminal in the Mediterranean area, located in the Genoa port. The goal of the paper is to model, through a system dynamics approach, VTE operations and, thanks to an efficient decision cockpit connected with an ERP system, provide a support for its management.</t>
  </si>
  <si>
    <t>International Journal of Mathematics and Computers in Simulation</t>
  </si>
  <si>
    <t>A system dynamics decision cockpit for a container terminal: The case of voltri terminal europe</t>
  </si>
  <si>
    <t>REF_381</t>
  </si>
  <si>
    <t>Applying the system simulation to the discrete events of something to be modeled, and analyzing the technological process of loading and unloading at a modern container terminal as well as the relevant operational management, a simulation model is developed involving the whole operating process in a container terminal where the container ships, anchorages, berths, quay cranes, gantry cranes, internal and external container trucks, trailers, yard gates, etc., are all taken into account. To solve the block planning problem of container Terminals, the simulation-based optimization (SBO) method is proposed, where the MPI-based parallel cluster computing technique is introduced into the solving process. Thus, the tedious computation for SBO is well improved.</t>
  </si>
  <si>
    <t>Dongbei Daxue Xuebao/Journal of Northeastern University</t>
  </si>
  <si>
    <t>REF_380</t>
  </si>
  <si>
    <t>Given the rising growth in containerized trade, Container Terminals (CTs) are facing truck congestion at the gate and yard. Truck congestion problems not only result in long queues of trucks at the terminal gates and yards but also leads to long turn times of trucks and environmentally harmful emissions. As a result, many terminals are seeking to set strategies and develop new approaches to reduce the congestions in various terminal areas. In this paper, we tackle the truck congestion problem with a new dynamic and collaborative truck appointment system. The collaboration provides shared decision making among the trucking companies and the CT management, while the dynamic features of the proposed system enable both stakeholders to cope with the dynamic nature of the truck scheduling problem. The new Dynamic Collaboration Truck Appointment System (DCTAS) is developed using an integrated simulation-optimization approach. The proposed approach integrates an MIP model with a discrete event simulation model. Results show that the proposed DCTAS could reduce the terminal congestions and flatten the workload peaks in the terminal. Copyright © 2017 by SCITEPRESS – Science and Technology Publications, Lda. All rights reserved</t>
  </si>
  <si>
    <t>10.5220/0006188100850095</t>
  </si>
  <si>
    <t>A dynamic and collaborative truck appointment management system in container terminals</t>
  </si>
  <si>
    <t>REF_379</t>
  </si>
  <si>
    <t>Different from container ports, general cargo terminals have a large variety of cargo types but small amount for each type. It is critical to analyze the performance of the general cargo terminals considering the scarcity of dedicated resources for each cargo category. However, to build an analytical or conventional simulation model for the terminals can be difficult, especially when many non-standardized procedures are involved. Such difficulties restrict the ability to evaluate and optimize the performances of the terminals. In this study, we developed a data-driven discrete event simulation model using the O2DES framework, for evaluating the performance of general cargo terminals. Subsequently, we illustrate four different base strategies that would potentially increase the capacity of the terminals. Moreover, to identify the optimal combined strategy in an efficient manner, we develop an algorithm with simulation allocation rule based on the concept of Optimal Computing Budget Allocation (OCBA). The approaches are tested and validated based on the historical data and domain inputs of a given set of general cargo terminals at one of the largest multi-purpose port in Southeast Asia. Nevertheless, the proposed techniques are general, which can be extended for application on different cargo types and port configurations. Copyright © 2017 by MTEC 2017 Organizers.</t>
  </si>
  <si>
    <t>10.3850/978-981-11-2722-9_MTEC020118</t>
  </si>
  <si>
    <t>Proceedings of the 5th International Maritime-Port Technology and Development Conference, MTEC 2017</t>
  </si>
  <si>
    <t>Optimal capacity planning for general cargo terminals with data-driven discrete event simulation</t>
  </si>
  <si>
    <t>REF_378</t>
  </si>
  <si>
    <t>10.1109/IESTEC62784.2024.10820299</t>
  </si>
  <si>
    <t>Spanish</t>
  </si>
  <si>
    <t>Proceedings - 2024 9th International Engineering, Sciences and Technology Conference, IESTEC 2024</t>
  </si>
  <si>
    <t>Implementation of a simulation model in Simulation of Urban MObility (SUMO) to optimize land traffic management at the Balboa Port Terminal; [Implementación De Un Modelo De Simulación En SUMO Para Optimizar La Gestión Del Tráfico Terrestre En La Terminal Portuaria De Balboa]</t>
  </si>
  <si>
    <t>REF_377</t>
  </si>
  <si>
    <t>Although the trade recession has had a notable impact on Hong Kong's container port business, a positive growth rate could still be achieved. In 1998, Hong Kong handled totally 14.6 million twenty-foot equivalent units (TEUs) of containers, a slight increase of 1.4% over 1997. In 1998, due to Hong Kong's efficient port facilities, it was even selected as the best Asian port by "Cargonews Asia". Of the total container throughput, container terminals in Kwai Chung handled 66%. As the success of container-handling industry is significant, in this paper, an application of a simulation model (using Witness software) to simulate Kwai Chung container terminals is developed and described. The objective was to investigate to what extent a simulation model could predict the actual container terminal operations with a higher order of accuracy. © 2002 Published by Elsevier Science B.V.</t>
  </si>
  <si>
    <t>10.1016/S0377-2217(01)00216-8</t>
  </si>
  <si>
    <t>A simulation model for the Kwai Chung container terminals in Hong Kong</t>
  </si>
  <si>
    <t>REF_376</t>
  </si>
  <si>
    <t>This paper discusses the scheduling of reefer mechanics at container terminals. Reefer mechanics plug and unplug reefer containers such that due times are met. We outline the resulting scheduling problem and two simple heuristics. Subsequently, we present a simulation model to analyze the scheduling methods and the reefer-related processes in a realistic dynamic framework. Some results from the simulation experiments are also presented. They demonstrate the applicability of the heuristic and the use of the simulation model in practice. The simulation study was carried out for a real container terminal in the port of Hamburg, Germany. © 2012 Elsevier Ltd.</t>
  </si>
  <si>
    <t>10.1016/j.tre.2012.12.007</t>
  </si>
  <si>
    <t>Scheduling reefer mechanics at container terminals</t>
  </si>
  <si>
    <t>REF_375</t>
  </si>
  <si>
    <t>Multimodal transport system on container terminal is a complex stochastic system, so it is difficult to solve accurately by mathematical model. This paper presents a simulation-based optimization method for scheduling optimization of container terminal. First, from the aspect of whole operation process, based on Hybrid Flow Shop Scheduling problem a mathematical model is developed to optimize the operation sequence of quay cranes, yard trailers and yard cranes simultaneously. Second, a simulation optimization method of combining with the GA and simulation for operation scheduling in container terminals is proposed. Finally, case studies show that this method is applicable and effective to the problem of coordinating job sequence optimization. © 2011 Springer-Verlag Berlin Heidelberg.</t>
  </si>
  <si>
    <t>10.1007/978-3-642-23777-5_78</t>
  </si>
  <si>
    <t>Advances in Intelligent and Soft Computing</t>
  </si>
  <si>
    <t>The research of simulation and optimization of multimodal transport system based on intelligent materials on container terminal job scheduling</t>
  </si>
  <si>
    <t>REF_374</t>
  </si>
  <si>
    <t>The ever-increasing worldwide container throughput and the intensified port competition have demanded better terminal operational performance, which is usually measured by the gross crane rate (GCR). In this paper, a multiagent-based simulation model is proposed to investigate how the block length of the storage yard and the tactical-level stacking policy affect the operational performance of non-transshipment container terminals over the long term. Experiments consider seven block lengths, two yard truck fleet sizes and two stacking policies. The results demonstrate that the best block length yielding the highest GCR is dependent on the stacking policy and the yard truck fleet size, and the separate stacking policy is essentially superior to the scattered stacking policy. Specifically, only when 9-yard trucks are deployed per quay crane under the separate stacking policy, can the typical 42-slot block length achieve the highest GCR. Although the experiments are not exhaustive, they do provide the first fundamental insights, with respect to the effects of block lengths and stacking policies, on the long-term performance at a manually controlled non-transshipment container terminal. © The Author(s) 2018.</t>
  </si>
  <si>
    <t>10.1177/0037549718815969</t>
  </si>
  <si>
    <t>Effects of block lengths and stacking policies on overall performance at non-transshipment container terminals</t>
  </si>
  <si>
    <t>REF_373</t>
  </si>
  <si>
    <t>As the bridge between land and sea transports, container terminals play a significant role in global trading activities. In order to improve the operational efficiency at the wharf apron, this paper introduced an integrated scheduling problem with the consideration of vehicle dispatching and routing, and developed a time-space network based on takt time. Given the highly uncertain nature of vehicle movement and equipment handshakes, a simulation-optimization approach was developed, which integrates an improved particle swarm optimization and a discrete event simulation model. To further reduce simulation run time, parallel computing was adopted in the algorithm. Numerical experiment shows that the proposed algorithm outperforms the genetic algorithm-based and strategy-based simulation-optimization approach.  © 2022 IEEE.</t>
  </si>
  <si>
    <t>10.1109/WSC57314.2022.10015248</t>
  </si>
  <si>
    <t>Simulation-Optimization Approach for Integrated Scheduling at Wharf Apron in Container Terminals</t>
  </si>
  <si>
    <t>REF_372</t>
  </si>
  <si>
    <t>The randomness implicit in arrival time of external trucks at container terminals leads to the uneven distribution of retrieving and delivery operations. The problem causes that mechanical equipment of the terminal can hardly balance the peak working. Based on the analysis of different operation status of external trucks, a linear simulation mathematical model with time residual matrix as the core is developed. The cooperative appointment is formulated in the base of the simulation model, in which the appointment process of external trucks are equal to the cooperative selection process of truck drivers considered the simulation feedback. Comparing with traditional appointment and equal quota appointment through a series of large-scale experiments under different circumstances, the results demonstrates the effectiveness and robust of cooperative appointment on balancing the peak working and decreasing the turn time of external trucks. Copyright © 2016 by Science Press.</t>
  </si>
  <si>
    <t>Jiaotong Yunshu Xitong Gongcheng Yu Xinxi/Journal of Transportation Systems Engineering and Information Technology</t>
  </si>
  <si>
    <t>Simulation optimization of consolidation and configuration in container terminals based on cooperative appointment</t>
  </si>
  <si>
    <t>REF_371</t>
  </si>
  <si>
    <t>A simulation-based optimization approach was proposed for coordination of resource allocation of multimodal transport system on container terminals. First, the simulation model of the multimodal operation process on container terminal was established with queue network model based on queuing theory. And then, the mathematical programming model for coordination between operation effect and efficiency of resource utility was built. Next, the simulation optimization method was designed to solve this problem which combined heuristic search algorithm with simulation model. Finally, the effect of the proposed method was verified and analyzed with an actual example. The results show its feasibility for the coordination optimization on resource allocation of the multimodal transport system on the container terminals.</t>
  </si>
  <si>
    <t>Optimization for resource allocation coordination on multimodal transport system on container terminal</t>
  </si>
  <si>
    <t>REF_370</t>
  </si>
  <si>
    <t>South Korea has focused on strategic economic growth for the last several decades, resulting in booming international trade. To accommodate this trade, activity in container terminals has been steadily increasing, with corresponding environmental impacts. This study proposed a model using a system dynamics approach to evaluate the total amount of carbon emissions produced in a container terminal, while calculating the required reduction amount of carbon emissions in the container terminal at a given carbon emission reduction goal from the year 2017 to the year 2030. The results of this study indicated that the container terminal will produce annually on average 108.18 million kg of CO2 equivalent emissions from the five types of processes – vessel maneuver, vessel at berth, container loading and unloading, container transportation, and container receiving and delivery – from the year 2017 to the year 2030. The total carbon emissions of the container terminal were comprised of 51.13% from the container vessel maneuver process, 0.57% from the vessel at berth process, 37.34% from the container loading and unloading process, 1.04% from the container transportation process, and 9.92% from the container receiving and delivery process. The results of this study indicated that the container terminal required the annual reduction of on average 0.53 million kg of CO2 equivalent emissions from the year 2023 to the year 2030 in order to comply with the South Korean government's emission reduction targets. © 2018 Elsevier Ltd</t>
  </si>
  <si>
    <t>Journal of Cleaner Production</t>
  </si>
  <si>
    <t>With the development of information technology, automation and intelligence techniques have gradually taken place of the manpower in container terminals. The automation of container terminals can improve the operation efficiency and decrease the labor cost, while the construction of this kind of container terminals always requires a large investment. Thus, it is very important to analyze the performance of the container terminal in the planning stage. In such a system, battery management can seriously affect system performance. This paper develops a nested semi-open queueing network model for estimating the performance of an automated container terminal with consideration of battery management. Since the model is difficult to solve, we employ an approximation approach. We first reduce the network into a semi-open queueing network with two load-dependent service nodes. The matrix-geometric method is applied to solve the reduced semi-open queuing networks and evaluate system performance. Based on the approximation solution, we further optimize resource allocation and layout design of the system, specifically, the optimal number of AGVs, the length-to-width ratio of the yard, optimal task assignment strategy, and battery recovery strategy. Extensive numerical experiments are conducted: (i) we validate the performance of models by comparing them with simulation models and the results show that the proposed analytical models perform very well; (ii) we also conduct numerical experiments for system design optimization and some design insights are concluded; (iii) we investigate which strategy is better by comparing annual cost and the results show that the battery swapping strategy performs better than the plug-in charging strategy unless the price of a spare battery is very high. © 2021 Elsevier Ltd</t>
  </si>
  <si>
    <t>10.1016/j.cie.2021.107258</t>
  </si>
  <si>
    <t>Modeling and analysis for an automated container terminal considering battery management</t>
  </si>
  <si>
    <t>Throughput capacity of port is one of the main bases of evaluating whether the port could meet the transportation demand. The existing methods estimated the throughput capacity could not exactly reflect the operation state of container terminal. In this regard, a simulation model of production operation of container terminal is established to study the method for throughput capacity of a container terminal considering the service level. The simulation model is specifically built to be able to perform randomness of container terminal. The simulation results and analysis conclusions provide reference for the planning, construction and expansion of infrastructure in costal container terminal. © 2013 Taylor &amp; Francis Group, London.</t>
  </si>
  <si>
    <t>Advances in Civil Engineering and Building Materials - Selected Peer Reviewed Papers from 2012 2nd International Conference on Civil Engineering and Building Materials, CEBM 2012</t>
  </si>
  <si>
    <t>Method for throughput capacity of container terminal based on complex stochastic system</t>
  </si>
  <si>
    <t>REF_367</t>
  </si>
  <si>
    <t>Seaport container terminals are essential nodes in sea cargo transportation networks. As such, the operational efficiency of container terminals in handling containers passing through them plays a critical role in a globalized world economy. Many models and algorithms have been developed to address various decision problems in container terminals to help improve operational efficiency. These decision support tools are usually used separately for specific purposes. However, the problems they are trying to tackle are often interrelated. Therefore, in this regard, an evaluation tool which can capture as many operational conditions as possible for different decision problems is necessary. This paper introduces a general simulation platform, named MicroPort, which aims to provide an integrated and flexible modeling system for evaluating the operational capability and efficiency of different designs of seaport container terminals. The software structure of MicroPort comprises three programming layers: (1) the Functions layer; (2) the Applications layer; and (3) the Extensions layer. Different layers are bound by Application Programming Interfaces (APIs). Basic functions built in the Functions layer support the Applications layer in which major operation processes can be modeled by an agent-based method. External modules and decision support tools in the Extensions layer then use APIs to adjust the system to produce suitable simulation models for specific purposes. © 2011 Elsevier Ltd. All rights reserved.</t>
  </si>
  <si>
    <t>10.1016/j.aei.2011.08.010</t>
  </si>
  <si>
    <t>Advanced Engineering Informatics</t>
  </si>
  <si>
    <t>MicroPort: A general simulation platform for seaport container terminals</t>
  </si>
  <si>
    <t>REF_366</t>
  </si>
  <si>
    <t>It is difficult to build a mathematical model for a railway container terminal because of its complexity and randomicity. A simulation based optimization algorithm was adopted to search satisfactory solution on deployment of equipments and the loading-unloading strategies in railway container terminal. The simulation model was combined with GA. The definition of suppositional evaluation was proposed. To compute fitness, methods of case index and adjusting time step and simulating times were used. All of these made the algorithm not only decrease the computing time evidently but also have the ability to gain satisfactory solutions. The performance of the algorithm was demonstrated by a simulation of loading and unloading operation in railway container terminal. Finally, optimal loading-unloading strategies were analyzed.</t>
  </si>
  <si>
    <t>Simulation-based optimization of loading-unloading strategies in railway container terminal</t>
  </si>
  <si>
    <t>REF_365</t>
  </si>
  <si>
    <t>Throughput capacity is a vital factor that dominates the suitable time of expansion of container terminals. By analyzing the operation system of container terminals and realizing its complexity, this paper established a simulation model of container terminals to imitate the realistic operation process and determine the throughput capacity of a container berth under various influence factors. The simulation results can be used by decision makers to choose appropriate throughput capacity under required service level and decide the optimal number of berths arranged continuously. The simulation model will be beneficial to guide the construction of container terminals. © 2015 I3M Conference. All rights reserved.</t>
  </si>
  <si>
    <t>A simulation model for determining throughput capacity of container terminals</t>
  </si>
  <si>
    <t>REF_364</t>
  </si>
  <si>
    <t>Fatigue may have significant impacts on the port operations efficiency, but also on the safety of each single workers and on the “safety” of the whole terminal. To this aim, if on the one hand it is important to implement real-time solutions for improving port performances, on the other hand it is interesting to investigate the drop in performance of quay crane operators due to mental workload. The aim of this study was the simulation of the crane operator's fatigue. In particular, starting from real data provided on the two busiest work shifts, the paper aims at analyzing the crane operators fatigue curve in the port of Salerno and implementing it in a multi-agent discrete-event simulation model. The results of the analysis point out that the fatigue curve obtained through the real data referred to the port of Salerno are validated by the theory and consistent with the available fatigue curves. © 2022, The Author(s), under exclusive license to Springer Nature Switzerland AG.</t>
  </si>
  <si>
    <t>10.1007/978-3-030-93370-8_8</t>
  </si>
  <si>
    <t>Lecture Notes in Intelligent Transportation and Infrastructure</t>
  </si>
  <si>
    <t>Implementation of a Methodology for the Fatigue Analysis in Quay Crane Operators Through a Multi-agent - Discrete Event Simulation: The Salerno Container Terminal Case Study</t>
  </si>
  <si>
    <t>REF_363</t>
  </si>
  <si>
    <t>Recently, seaports have paid much attention to container transportation by rail to evacuate huge container flow received by sea. In this line, Le Havre seaport, as the first French port in terms of containers’ traffic, plans to put into service a rail-road terminal near the Paris region. The main purpose of this new inland terminal is to restrict the intensive use of roads on the Le Havre-Paris corridor and achieve a better massification share of hinterland transportation. Containers are routed by train between Le Havre and this terminal and the last/first mile remains done by trucks. This paper aims to propose a decision support tool based on simulation for the layout design problem of this new terminal. This tool is tested using a set of scenarios and the obtained results are then discussed. © 2019 Dime universita di genova, dimeg university of calabria. All rights reserved.</t>
  </si>
  <si>
    <t>Towards a simulation-based decision support tool for container terminal layout design</t>
  </si>
  <si>
    <t>REF_362</t>
  </si>
  <si>
    <t>In this paper different microscopic discrete event simulation models for a container terminal are presented. The focus is on the best approach to adopt to simulate handling activity time duration and on which level of detail should be pursued with respect to different planning horizons that a decision maker have to face. The models share the same logical architecture but differ in the approaches pursued to estimate handling activity time duration. Terminal operations were broken down into elementary activities pursuing a level of disaggregation not usual in the literature; time duration of each elementary handling activity was modelled through a stochastic approach, distinguishing container type; validation was carried out with respect to different planning horizons (real-time/short-term, long-term) through the definition of local and global indicators and a before-and-after analysis. Modelling issues are discussed for tactical and strategic planning, and operational guidelines are given. © 2011 Elsevier B.V. All rights reserved.</t>
  </si>
  <si>
    <t>REF_361</t>
  </si>
  <si>
    <t>ABSTRACT: The container transportation and containerization for the material movement has been increasing rapidly in recent years. The transportation sector has been undergoing very rapid and multifarious changes against the international competitor. These changes are reflected in the alliances between shipping companies, introduction of larger ships as a cost reduction measure, and the application of integrated logistics to satisfy the needs of customers. The needs of many shipping companies for calling at ports are the adequate terminal facilities and other services, sufficient channel depth, efficient handling, the cost benefit of port fees and container handling, the convenient customs formalities, and so on. In this paper, a conceptual design of a floating container terminal is proposed. And the container handling efficiency on the floating container terminals are evaluated through a practical container handling simulation model, which is constructed by a Petri network model. Further a feasibility study is conducted by comparing the initial cost with those of some existing container terminals. © 2005 Taylor &amp; Francis Group.</t>
  </si>
  <si>
    <t>REF_360</t>
  </si>
  <si>
    <t>The High Level Architecture (HLA) distributed simulation modeling method is proposed to establish a distributed federation simulation model for multimodal operation system on container terminals. According to the analysis on the structure and activities of the system, the simulation federation was designed, including operation federate, information management federate and operation management federate. Then, the federation object model (FOM), interactive class and operation time sequence were designed. At last, this HLA-based simulation model was implemented and compared with a conventional simulation model using Arena. The simulation result shows the feasibility of the proposed modeling approach. © 2008 IEEE.</t>
  </si>
  <si>
    <t>10.1109/ASC-ICSC.2008.4675381</t>
  </si>
  <si>
    <t>2008 Asia Simulation Conference - 7th International Conference on System Simulation and Scientific Computing, ICSC 2008</t>
  </si>
  <si>
    <t>HLA-Based distributed simulation model for multimodal operation system on container terminals</t>
  </si>
  <si>
    <t>REF_359</t>
  </si>
  <si>
    <t>The arrival and service process of vessels at container terminals is always a main concern for port managers. We present a simulation model, which aims to shed light on this problem. On one hand, the model inputs describe the number of berths, as well as the ship arrivals and the services through its respective distributions. On the other hand, the outputs of the simulation model include: waiting times, queue lengths, berth utilisation and efficiency ratio. An empirical case study is used to explore the effectiveness of the proposed approach. The case study is based on real data collected at two container terminals. Both are located at the Port of Valencia (Spain), one is the Noatum public terminal, and the other is the MSC dedicated terminal. The simulation model is effective in replicating realistic scenarios and gives crucial information to improve port operations. © 2021 Inderscience Enterprises Ltd.</t>
  </si>
  <si>
    <t>10.1504/IJISE.2021.112473</t>
  </si>
  <si>
    <t>International Journal of Industrial and Systems Engineering</t>
  </si>
  <si>
    <t>A simulation model of container terminals. The port of Valencia case study</t>
  </si>
  <si>
    <t>REF_358</t>
  </si>
  <si>
    <t>This paper proposes a simulation model for container terminal system analysis. We assume that the container terminal consists of gate, container yard, and berth. The facilities used in the container terminal are transfer cranes, gantry cranes, trailers, and yard tractors. The simulation model is developed using an object-oriented approach, and using SIMPLE++, object-oriented simulation software. We also consider a simple container terminal which is a reduced system of a real terminal in Pusan, Korea and we will analyze the performance of the system.</t>
  </si>
  <si>
    <t>International Journal of Production Economics</t>
  </si>
  <si>
    <t>Simulation model for container-terminal operation analysis using an object-oriented approach</t>
  </si>
  <si>
    <t>REF_357</t>
  </si>
  <si>
    <t>In vehicle logistics several logistics service providers are involved across the process chain ranging from transport of new vehicles to the automobile terminal via storage and technical modifications on the terminal to delivery of the vehicles to the customer. Today, coordination of the process executors is marked by a short planning horizon, as none of the involved parties have access to all necessary planning information of the entire process. Currently no integrated process design of the logistic chain is executed. This contribution deals with developing an integrated planning and control method for collaborative vehicle logistics processes. The method considers both vehicle terminal processes as well as transport processes executed by automobile logistics providers. The logistic effects of applying this method will be determined in a simulation study using discrete event simulation. The method will be implemented in real automobile terminals by means of a prototypical software based control centre.</t>
  </si>
  <si>
    <t>7th International Workshop on Modeling and Applied Simulation, MAS 2008, Held at the International Mediterranean Modeling Multiconference, I3M 2008</t>
  </si>
  <si>
    <t>Integrated planning and control on Ro-Ro terminals</t>
  </si>
  <si>
    <t>REF_356</t>
  </si>
  <si>
    <t>This paper develops a methodology to design a Container Terminal Operation Simulation (CTOS), which simulates the vulnerability of port operations to extreme weather events. In CTOS, an agent based model was built for a container terminal at the Port of Sydney to simulate the operations of port operational assets such as cranes, straddle carriers and trucks to observe the individual and collective behaviour under various extreme weather events using a set of Key Performance Indicators (e.g. crane rates, straddle productivity, truck queue length, yard utilisation). The CTOS results show that the crane throughput loss due to six hours of heavy rain and six hours of high speed wind (separately) is 13 per cent within a 24 hour period. While high speed wind and heavy rain have the highest impact on the crane throughput, high speed wind and flooding in the port area leads to a backlog in servicing trucks. Using a single terminal for the purpose of the simulation, as opposed to the entire Sydney Port, is a limitation. However, the CTOS is designed and coded in a manner that permits its modification such that it can be applied to other port contexts. CTOS offers a versatile tool for port authority to enable estimating performance implications of extreme weather-related disruptions to port operations. CTOS provides an effective proof of concept prototype where the system architecture can be reused in developing an open generic port operations model. © 2016, Editorial Board EJTIR. All rights reserved.</t>
  </si>
  <si>
    <t>10.18757/ejtir.2016.16.1.3121</t>
  </si>
  <si>
    <t>European Journal of Transport and Infrastructure Research</t>
  </si>
  <si>
    <t>Container terminal operations simulator (CTOS) – Simulating the impact of extreme weather events on port operation</t>
  </si>
  <si>
    <t>Increasing the container volume and the lack of land acquisition for terminal development is a problem encountered by container terminal operators in Indonesia in the last years. To maintain the high demand on terminal service, the operator uses Inland Container Depots (ICD) as one of the fastest and cheapest solutions with some limitations compared to port expansion. Capacity and location are issues that should be addressed when ICD is used as one of the capacity-solving problems. ICD operation will increase the ability of the terminal services, yet the connecting roads that are also used by non-container traffic will affect the transfer operation of containers from the terminal to ICD. The container movement from the terminal to ICD is determined by the value of Yard Occupancy Ratio (YOR). The method that integrates the decision of transferring containers from the terminal and selecting ICD locations is required to cope with this issue. Differences in cycle time equilibrium of terminal operations and connecting roads complicate the construction of analytical equations. Discrete Event Simulation is used to accommodate the difference of operating time cycle, a stochastic condition of arrival, service time, an integration of terminal operation process and ICD location selection. The case study of Koja Container Terminal was used to perform experimental test of the proposed method. The simulation model was constructed for one month of simulation. Level of demand and ICD capacity were factors to be tested in the model to calculate the effects of ICDs operation on the container terminal. Optimum Terminal - ICD configuration was chosen by maximizing the container cost difference of without and with ICDs. Total container cost consists of the container handling cost (discharge, transfer, lift on, lift off, custom check and storage costs) and the container time cost (waiting time and potentially demand unserved). Since the addition amount of ICDs will increase the handling cost and decrease the time cost, so, there are appropriate ICDs numbers for a certain level of demand. Experimental result of Koja container terminal showed that the optimum amount of ICDs will decrease the total container cost charged to the users for the demand level above the terminal capacity. Terminal throughput will increase but the dwell time will not reduce significantly. The optimum configuration for the condition is Terminal - ICD (Yos Sudarso) and ICD (LLRE Martadinata). Optimization based on Discrete Event Simulation can be used to obtain the optimum configuration of ICD terminal system at certain demand level and to measure the ICD effect on terminal performance, ICD and Connecting Road. Operation of the ICD will decrease the container cost but will not provide significant dwell time for terminal improvements. © 2018 Author(s).</t>
  </si>
  <si>
    <t>Inland container depots effect for import container terminal performance at Koja container terminal, Jakarta based on optimization-simulation model</t>
  </si>
  <si>
    <t>REF_354</t>
  </si>
  <si>
    <t>The decarbonization and automation of port operations are emerging as key strategies to enhance the sustainability and efficiency of maritime logistics. This study proposes a simulation-based framework to assess the operational and environmental impacts of transitioning from traditional Internal Combustion Engine (ICE) tractors to Battery Electric Tractors (BET) and Automated Electric Guided Tractors (e-AGT) in Roll-on/Roll-off (Ro–Ro) port terminal operations. The proposed framework is applied to simulate a full vessel turnaround at the Ro–Ro terminal of the Port of Ravenna (Italy). A set of Key Performance Indicators (KPIs) is defined to evaluate turnaround time, vehicle productivity, energy consumption and CO2 emissions across three scenarios. The results indicate that both BET and e-AGT configurations significantly reduce emissions compared to ICE, with reductions up to 40%. However, the e-AGT scenario reveals operational drawbacks, including increased unloading time and reduced fleet availability due to charging constraints and routing limitations. These findings highlight the environmental potential of automation and electrification but also emphasize the need for integrated planning of fleet size, charging infrastructure and circulation specifications. The proposed framework provides a replicable decision-support tool for port authorities and logistics operators to evaluate alternative handling technologies under realistic conditions. © 2025 by the authors.</t>
  </si>
  <si>
    <t>Future Transportation</t>
  </si>
  <si>
    <t>Towards Green and Smart Ro–Ro Port Terminal Operations: A Comparative Analysis of ICE, BET and e-AGT Tractors</t>
  </si>
  <si>
    <t>Queuing models and simulation are two primary methods applied to container terminal planning. Queuing models tend to result in underestimated outcomes due to ships and berths not being classified by size and length. This paper classified both ships and berths using actual data and then compared the resultant differences of the scenarios with and without classification with the simulation. The comparison shows that the outcomes with and without the classification of ships and berths are located opposite to the outcomes obtained from the simulation, which was deliberately constructed and rendered sufficiently accurate results. The optimal scale of facilities of a container terminal is located between the outcomes of the two proposed scenarios. There is no longer a need to establish a complex and tedious simulation model. The method proposed in this paper provides a convenient way to determine the optimum number of berths and facilities for a container terminal. © 2007, Taylor &amp; Francis Group, LLC.</t>
  </si>
  <si>
    <t>10.1080/10170660709509034</t>
  </si>
  <si>
    <t>Journal of the Chinese Institute of Industrial Engineers</t>
  </si>
  <si>
    <t>A comparison of analytical methods and simulation for container terminal planning</t>
  </si>
  <si>
    <t>REF_352</t>
  </si>
  <si>
    <t>The paper presents an Integrated Maintenance Decision Making Model (IDMM) concept for cranes under operation especially into the container type terminals. The target is to improve cranes operational efficiency through minimizing the risk of the Gantry Cranes Inefficiency (GCI) results based on implementation the Digital Twins concept. The proposed model makes a joint transportation process and crane maintenance scheduling, relevant to assure more robust performances in stochastic environments, as well as to assess and optimize performances at different levels, from components and transport device to production systems (container terminal). The crane operation risk is estimated with a sequential Monte Carlo Markov Chain (MCMC) simulation model and the optimization model behind of IDMM is supported through the Particle Swarm Optimization (PSO) algorithms. The developed model allows the terminal container operators to obtain a maintenance schedule that minimizes the GCI, as well as establishing the desired level of risk. The paper demonstrates the effectiveness of the proposed maintenance decision making concept model for cranes under operation with use the data coming from of a real container terminal (case study). © 2019, IFAC (International Federation of Automatic Control) Hosting by Elsevier Ltd. All rights reserved.</t>
  </si>
  <si>
    <t>IFAC-PapersOnLine</t>
  </si>
  <si>
    <t>REF_351</t>
  </si>
  <si>
    <t>A container terminal is a facility where containers are transshipped from one mode of transport to another. Congestion problem leads to the decreasing of the customer's level of satisfaction. This study presents the application of simulation technique with the main objective of this study is to develop the current model and evaluate the performance of the container terminal. The suitable performance measure used in this study to evaluate the container terminal model are the average waiting time in queue, average of process time at berth, number of vessels enter the berth and resource utilization. Simulation technique was found to be a suitable technique to conduct in this study. The results from the simulation model had proved to solve the problem occurred in the container terminal. © 2015 AIP Publishing LLC.</t>
  </si>
  <si>
    <t>Evaluating performance of container terminal operation using simulation</t>
  </si>
  <si>
    <t>REF_350</t>
  </si>
  <si>
    <t>A simulation optimization method is presented to realize the optimal planning on the gate system on container terminals. At first, the formulation of mathematical programming model is established including the planning objectives and constraints according to the analysis on the operation requirement of the gate system. The optimal objective is to minimize the total cost of construction and ensure the desired operation efficiency. Then, considering the uncertain and stochastic activities in the system, the discrete-event system simulation model is built. To solve the optimal planning problem, the requirement for optimization algorithm suit for the simulation model is discussed and the approach of simulation optimization is presented. The optimization method is presented that combines genetic algorithm with the discrete-event system simulation model of the gate system. At last, an actual case is analyzed to illustrate the validity and effectiveness. The results from simulation optimization method are compared with traditional planning method and the advantage of this method is shown. Moreover, the sensitivity of this planning result is analyzed.</t>
  </si>
  <si>
    <t>10.1109/ICMSE.2006.313832</t>
  </si>
  <si>
    <t>Proceedings of 2006 International Conference on Management Science and Engineering, ICMSE'06 (13th)</t>
  </si>
  <si>
    <t>Optimal planning on gate system on container terminals based on simulation optimization method and case study</t>
  </si>
  <si>
    <t>REF_349</t>
  </si>
  <si>
    <t>The complex logistic process of vessel berthing followed by container discharge/loading, at maritime container terminals (MCTs), is focused in this paper. Discrete-event simulation models are well capable of representing the entire process in a stochastic, dynamic environment. Hence, simulation results to be an effective planning and control tool for decision making and evaluation. The assignment of quay cranes to berthed vessels and their deployment along the berth represent crucial decisions that could be well supported by integer programming (IP) models. Usually, these models are used as standalone tools. Starting from a discrete-event simulator for the berth planning, previously developed for a real maritime container terminal, we propose two IP models that can be embodied within the simulator to verify whether or not the weekly plan of the berth schedule produced by the simulator itself is feasible with respect to the available quay cranes. If not, the manager would be asked to repeat the berth planning step by rerunning simulation. The goodness of the proposed IP formulations is established by a numerical comparison against a test case taken from literature. Copyright © (2008) by CAL-TEK S.r.l.</t>
  </si>
  <si>
    <t>10th Int. Workshop on Harbor, Maritime and Multimodal Logistics Modeling and Simulation, HMS 2008, Held at the International Mediterranean and Latin American Modeling Multiconference, I3M 2008</t>
  </si>
  <si>
    <t>Assignment and deployment of quay cranes at a maritime container terminal</t>
  </si>
  <si>
    <t>REF_348</t>
  </si>
  <si>
    <t>In this paper, it is analyzed how to aggregate the operations carried out in a container terminal for the construction of simulation models. Also, the productivity or efficiency indexes commonly used in terminal management are related to every abstraction level, so the user will select the appropriated simulation model based on the indexes he want to obtain. Furthermore, the models must give coherent results, so some parameters of a more abstracted (or aggregated) model can be obtained from a more detailed one using simulation. In the opposite direction, if it is known an aggregated parameter, some dependent parameters of a more detailed model can be obtained by means of a search procedure that will find the best solution for this set of parameters. As a result of this analysis, a hierarchical multilevel model is proposed for the simulation of port container terminals.</t>
  </si>
  <si>
    <t>12th Int. Conference on Harbor, Maritime and Multimodal Logistics Modeling and Simulation, HMS 2010, Held at the International Mediterranean and Latin American Modeling Multiconference, I3M 2010</t>
  </si>
  <si>
    <t>Multilevel approach modelling for port container terminal simulation</t>
  </si>
  <si>
    <t>REF_347</t>
  </si>
  <si>
    <t>Modeling, one of the main pillars of good scientific research, is a long-standing multidisciplinary activity to understand and analyze complex systems. In this paper, the focus is directed toward conceptual modeling of multi-terminal seaports specialized in handling and treatment of intermodal transport units (ITU). These systems are complex with highly dynamic and stochastic behaviors and actors, therefore, studying them as a coherent whole or just analyzing one part by taking into account the high degree of integration among the different aspects and actors linked by a flow of activities, information, and interactions is a bet lost in advance without a well-defined design process. Several design approaches and methodologies have been proposed over the years, but nonetheless, there is still no agreement on how to conduct modeling of complex systems because they are of different kinds. In this line, this paper proposes a top-down approach for container and Ro-Ro terminals largely inspired by the Unified Process Methodology and refined through several research projects that we have been involved in. It gives some recommendations and guidelines as well as a helpful way to successfully build modular and consistent simulation models. To prove its efficiency, it was applied to a case study and the resulting models were validated by the subject matter's experts. © 2021 The Authors.</t>
  </si>
  <si>
    <t>10.46354/i3m.2021.mas.002</t>
  </si>
  <si>
    <t>20th International Conference on Modeling and Applied Simulation, MAS 2021</t>
  </si>
  <si>
    <t>A model-driven design approach for Ro-Ro and container terminals: from requirements analysis down to simulation model implementation</t>
  </si>
  <si>
    <t>REF_346</t>
  </si>
  <si>
    <t>The research is based on investigating and studying various real container terminals operations systems. Firstly, intra-terminal transport is defined in the container terminal operations system that is a discrete event dynamic system and its entities, events, activities and process are analyzed. Secondly, based on identifying the various congestions, the simulation model is proposed. The cycle-time consists of the four stochastic variables: the non-stop traveling time of the cycle, the waiting time at berth, the waiting time at yard, and the abnormal waiting time in a cycle due to congestion or operations management. Finally, Container Terminals of Phase I of Shanghai Yangshan Port and Shanghai Waigaoqiao Container Terminal are chosen as a case to study how to determine the quay-yard cycle time and the operation-line productivities in the quay-yard cycle for a planning terminal that has not been established. This research indicates that this simulation model for intra-terminal transport can be applicable to any of the five typical container-terminal handling systems and the empirical equation obtained in case study can make sense for the simulation model for inter-terminal transport. ©2008 IEEE.</t>
  </si>
  <si>
    <t>Proceedings of 2008 IEEE International Conference on Service Operations and Logistics, and Informatics, IEEE/SOLI 2008</t>
  </si>
  <si>
    <t>A simulation model for intra-terminal transport of container terminal operations system</t>
  </si>
  <si>
    <t>REF_345</t>
  </si>
  <si>
    <t>New container terminals are embracing robotized transport vehicles such as lift-automated guided vehicles (LAGVs) and automated guided vehicles (AGVs) to enhance the terminal throughput capacity. Although LAGVs have a high container handling time, they require less coordination with other terminal equipment in comparison with AGVs. In contrast, AGVs are hard-coupled resources, require less container handling times, but operate with high coordination delays in comparison with LAGVs. The effect of such operational trade-offs on terminal performance under various design parameter settings, such as yard block layout and a number of resources, is not well understood and needs to be evaluated at the terminal design phase. To analyze these trade-offs, we develop stylized semi-open queuing network models, which consist of two-phase servers and finite capacity queues. We develop a novel network decomposition method for solving the proposed queuing models. The accuracy of the solution method is validated using detailed simulation models. Using the analytical models, we study the performance trade-offs between the transport vehicle choices: LAGVs and AGVs. Our results show that the throughput capacity of the terminal in the container unloading process increases by up to 16% if LAGVs are chosen as transport vehicles instead of AGVs. However, at certain parameter settings, specifically, when the arrival rate of containers is low, the throughput time performance of the terminal is higher (up to 8%) with AGVs than with LAGVs. We also derive insights on the yard block layout and the technology choice for quay cranes. © Copyright © 2020 “IISE”.</t>
  </si>
  <si>
    <t>10.1080/24725854.2020.1785648</t>
  </si>
  <si>
    <t>IISE Transactions</t>
  </si>
  <si>
    <t>AGV or Lift-AGV? Performance trade-offs and design insights for container terminals with robotized transport vehicle technology</t>
  </si>
  <si>
    <t>REF_344</t>
  </si>
  <si>
    <t>The area of modelling and controlling intermodal terminal systems is relatively new. The paradigms of Discrete Event Systems for modelling and of Multi-Agent Systems (MAS) for distributed control seem promising. Many research attempts developed modelling and simulation tools but no standard exists. This paper presents a Discrete Event System model of the agents introduced to describe how a distributed control of the terminal activities can be achieved. The interactions between four classes of agents are detailed. The approach is useful to develop a simulation platform to test MAS efficiency in terminal management and to measure the performance of static or adapted control strategies.</t>
  </si>
  <si>
    <t>ICINCO 2007 - 4th International Conference on Informatics in Control, Automation and Robotics, Proceedings</t>
  </si>
  <si>
    <t>A discrete-event system approach to multi-agent distributed control of container terminals</t>
  </si>
  <si>
    <t>REF_343</t>
  </si>
  <si>
    <t>Considering the diversification of dry bulk terminal types and the complexity of terminal loading and unloading operations, a modular modelling method based on discrete event system specification (DEVS) modelling theory is proposed in this paper. First, we introduced the DEVS into the dry bulk terminal and explained the ideas and main steps of the DEVS-based modular modelling method. Second, a module library and model framework library for dry bulk terminals were developed, and the DEVS expression of the modules and model framework was given. Studies have shown that the production performance of a coal export terminal is generally positively correlated with ship loading and ship arrival density. Terminal operators can improve their ability to respond to future scenarios in two ways: upgrading berth levels and improving ship berthing strategies. The case verifies that the model framework and module library are effective, and the modelling method based on DEVS is feasible. © Operational Research Society 2021.</t>
  </si>
  <si>
    <t>10.1080/17477778.2021.1992313</t>
  </si>
  <si>
    <t>Journal of Simulation</t>
  </si>
  <si>
    <t>DEVS-based modular modelling method of dry bulk terminals</t>
  </si>
  <si>
    <t>REF_342</t>
  </si>
  <si>
    <t>Container terminals mainly include three types of handling equipment, i.e.; quay cranes (QCs), internal trucks (ITs) and yard cranes (YCs). Due to high cost of the handling equipment, container terminals can hardly purchase additional handling equipment. Therefore, the reasonable scheduling of these handling equipment, especially coordinated scheduling of the three types of handling equipment, plays an important role in the service level and energy-saving of container terminal. This paper addresses the problem of integrated QC scheduling, IT scheduling and YC scheduling. Firstly, this problem is formulated as a mixed integer programming model (MIP), where the objective is to minimize the total departure delay of all vessels and the total transportation energy consumption of all tasks. Furthermore, an integrated simulation-based optimization method is developed for solving the problem, where the simulation is designed for evaluation and optimization algorithm is designed for searching solution space. The optimization algorithm integrates genetic algorithm (GA) and particle swarm optimization (PSO) algorithm, where the GA is used for global search and the PSO is used for local search. Finally, numerical experiments are conducted to verify the effectiveness of the proposed method. The results show that the proposed method can coordinate the scheduling of the three types of handling equipment and can realize the optimal trade-off between time-saving and energy-saving. © 2014 Elsevier Ltd.</t>
  </si>
  <si>
    <t>Dock and yard space management is one of the main problems in a port container terminal. In this sector, modelling can provide interesting solutions to the problem of verifying current planning. However, it is particularly important to set up this work as the first link in a decision-support chain that not only evaluates the consequences of such planning, but also becomes the active smart proposal developer. This paper presents the first step in this direction.</t>
  </si>
  <si>
    <t>10.1080/02286203.2000.11442152</t>
  </si>
  <si>
    <t>International Journal of Modelling and Simulation</t>
  </si>
  <si>
    <t>Simulation of dock management and planning in a port terminal</t>
  </si>
  <si>
    <t>REF_340</t>
  </si>
  <si>
    <t>Efficient managing truck flows has become a challenge for container terminals that have to maintain a high productivity while guaranteeing high service levels to truckers. Moreover, the increasing quantity of cargo to be handled in short time windows introduces congestion and security issues. This paper deals with the definition and simulation of various algorithms implementing a truck management system, with the objective or reducing congestion outside and inside the terminal, so guaranteeing security standards. An extensive simulation campaign has been performed on real data sets provided by an important Italian container terminal, demonstrating the effectiveness of the proposed mathematical approach in reducing terminal congestion and security issues. The designed methodology is general enough to be effectively applied in other container terminals realities located worldwide. © 2021 IEEE.</t>
  </si>
  <si>
    <t>10.1109/MT-ITS49943.2021.9529323</t>
  </si>
  <si>
    <t>2021 7th International Conference on Models and Technologies for Intelligent Transportation Systems, MT-ITS 2021</t>
  </si>
  <si>
    <t>Simulation of novel algorithms to reduce truck congestion at container terminals</t>
  </si>
  <si>
    <t>REF_339</t>
  </si>
  <si>
    <t>Automatic guided vehicles (AGVs) have been successfully applied to cargo terminals to reduce operating costs and improve productivity. However, the focus was on container terminal operations. Ports with roll-on/roll-off (RORO) terminals still heavily depend on human resources for the loading/unloading processes. Work operations are affected by human errors and safety issues. In particular, terminals where vehicles cannot be stacked pressure workers to handle cargo more rapidly, which induces more errors. In this study, we propose automating RORO terminal operations by using AGVs. We assessed the impact of AGVs on the productivity, cost efficiency, and environment. A series of simulation models was developed on the basis of the current loading system at an actual port to test the impact of AGVs. Then, we developed a cost model to analyze the economic benefit of AGVs compared with the current loading system. The environmental benefits were also analyzed. Results revealed that a system using 29 AGVs matched the productivity of the current loading system, and using more AGVs increased the productivity. For a given productivity level, the total operating cost of the AGV system was three times less than that of the current system over a 15-year period. The AGV system also showed great potential for improving the environmental friendliness of terminal operations. This is the first study to propose automating RORO terminal operations to improve productivity and sustainability through AGV technology rather than human factors. AGVs are expected to become a good option in the future to address labor shortages and the “untact” era. Copyright © 2022 Sang Hyung Park et al.</t>
  </si>
  <si>
    <t>10.1155/2022/6062840</t>
  </si>
  <si>
    <t>Automatic Guided Vehicles Introduction Impacts to Roll-On/Roll-Off Terminals: Simulation and Cost Model Analysis</t>
  </si>
  <si>
    <t>Intelligent transportation equipment represented by Artificial Intelligence Robot of Transportation (ART) has been gradually applied to automated container terminals (ACT). ARTs have higher intelligence and distributed autonomous decision-making capability compared to AGVs. The production and operation of ACT require strict loading plans based on container types and destination ports, which puts strict requirements on the ART loading task sequence. ART travel time from the yard to the quay is highly uncertain due to special scenarios such as traffic flow convergence and turning in narrow areas, which will lead to long waits for ART due to out-of-sequence arrivals at the quay. Therefore, it is necessary to regulate the speed of ART to adjust the timing of ART arriving at the quay. However, existing scheduling systems tend to ignore the impact of ART speed and loading sequence constraints on terminal operations. To optimize the multi-ART control problem of ACT, the waiting time of ART at the quay is taken as the optimization goal, and the speed regulation of ART during each task is defined as a Markov decision process. Then, by incorporating reinforcement learning and a multi-agent approach, an adaptive decision-making method is developed to generate the optimal speed regulation strategy. This method interacts with the multi-agent simulation environment to obtain real-time status information and learns strategies online to improve the intelligence of individual agents and the collaborative capabilities of the agent group. Finally, a multi-agent simulation model embedded with a reinforcement learning agent is established on AnyLogic software. Simulation results show that this method can effectively reduce the waiting time of ART, improve the coherence and efficiency of loading operations, and exhibit good performance in online scenarios that consider emergency tasks. The results indicate that the speed of ART in ACTs with parallel layout of the yard can impact the operational efficiency of the system. Furthermore, by appropriately defining the reward function and training method, collaborative behaviour among equipment can be enhanced, ultimately optimizing the overall performance of the system. © 2024 Elsevier Ltd</t>
  </si>
  <si>
    <t>10.1016/j.cie.2024.110264</t>
  </si>
  <si>
    <t>A multi-agent reinforcement learning approach for ART adaptive control in automated container terminals</t>
  </si>
  <si>
    <t>In this paper, a simulation optimization method for scheduling loading operations in container terminals is developed. The method integrates the intelligent decision mechanism of optimization algorithm and evaluation function of simulation model, its procedures are: initializing container sequence according to certain dispatching rule, then improving the sequence through genetic algorithm, using simulation model to evaluate objective function of a given scheduling scheme. Meanwhile, a surrogate model based on neural network is designed to predict objective function and filter out potentially bad solutions, thus to decrease the times of running simulation model. Numerical tests show that simulation optimization method can solve the scheduling problem of container terminals efficiently. And the surrogate model can improve the computation efficiency of simulation optimization. Crown Copyright © 2008.</t>
  </si>
  <si>
    <t>10.1016/j.cor.2008.06.010</t>
  </si>
  <si>
    <t>Computers and Operations Research</t>
  </si>
  <si>
    <t>Integrating simulation and optimization to schedule loading operations in container terminals</t>
  </si>
  <si>
    <t>REF_336</t>
  </si>
  <si>
    <t>This paper presents a simulation model to determine the impact of increased truck traffic entering and exiting the container terminal at the Alabama State Docks in Mobile, AL. Of special interest was the number of truck locations required to process the truck traffic and the possible use of trains to reduce the truck traffic entering and exiting the container terminal. Truck locations are used in the ProcessModel to control the maximum number of trucks in the container terminal. As a result, the number of truck locations is an important measure of the amount of space needed within the terminal. The Baseline Run1 had fifty trucks, or resources. Runs2-6 continually reduced the number of truck locations available. It appears that with the existing entity arrival rates only ten truck locations are necessary. The results with ten truck locations were identical to the results with fifty truck locations. The number of locations will probably have to increase if there is an increase in container traffic. The simulation results indicated that the container terminal would have a significant impact of truck traffic in and out of Mobile. A ship arriving every four days (or about seven ships a month) with an average of 450 containers for import and 350 containers for export will require about 350 trucks to bring in containers for export and another 450 trucks to move the incoming containers inland. This traffic volume will occur every four days, which is the time between arrivals of ships. Run3 estimated 4,400 trucks a month (or 220 per day) will be added to the interstate traffic in Mobile with the arrival of a container ship every four days. The addition of train service to the container terminal will reduce the truck traffic servicing the terminal. The simulation results for Run7 indicated at 18% reduction in truck traffic with a train arriving every five days. The arrival of a train every three days in Run8 had a 31% reduction in truck traffic. For every container that arrives on a train a truck is removed from delivering a container to the terminal. Also for every container that arrives on a ship and leaves the terminal on train a truck is removed from the Mobile road network. Included in this paper are a description of the simulation model, the experiment and an analysis of the simulation results. © (2010) by the Transportation Research Forum All rights reserved.</t>
  </si>
  <si>
    <t>51st Annual Transportation Research Forum 2010</t>
  </si>
  <si>
    <t>Evaluation of truck traffic at a container terminal using simulation</t>
  </si>
  <si>
    <t>REF_335</t>
  </si>
  <si>
    <t>In recent years international trade has developed rapidly, while international trade is mostly done through the container transport. Therefore, the global container transportation is also developing rapidly, but this has brought unprecedented opportunities and challenges to the container terminal logistics industry. To face the growing terminals container throughput, the problem is how to improve the operational efficiency of container terminal, and maximize the rate of its operational capacity. Because of land scarcity in container terminals, the yard utilization in many container terminals is already in the edge of warning line. In this paper first establishing the simulation model of container terminal based on eM-Plant, and analysis the influences of time demurrage of container terminal on yard utilization(denoted as YU), then analyzing the data obtained from the simulation. Getting the optimum solution, and then provide support for decision-makers. © 2011 IEEE.</t>
  </si>
  <si>
    <t>10.1109/ICMSS.2011.5999402</t>
  </si>
  <si>
    <t>International Conference on Management and Service Science, MASS 2011</t>
  </si>
  <si>
    <t>Analysis of the influences of demurrage on yard utilization in container terminal</t>
  </si>
  <si>
    <t>REF_334</t>
  </si>
  <si>
    <t>Double trolley quayside container cranes (DTQCs), automatic guided vehicles (AGVs) and automatic rail mounted gantry cranes (ARMGs) are widely used in automatic container terminals (ACTs) in China. To support the design and management of ACTs, we propose a 3D simulation model to simulate the discharging and loading operation based on agent-based simulation and microscopic traffic simulation on the AnyLogic software. Finally, we apply the proposed simulation model in a real case to certify that this model can provide decision support for the design and management of ACTs with DTQC/AGV/ARMG. © 2019 Association for Computing Machinery.</t>
  </si>
  <si>
    <t>An agent-based simulation model for operations in an automatic container terminal with dtqc/agv/armg</t>
  </si>
  <si>
    <t>REF_333</t>
  </si>
  <si>
    <t>The critical bottleneck affecting a terminal's oil throughput capacity is shifting from the limited number of berths to the channel connecting the berths to the anchorage area. This is especially true for the terminals with a oneway channel where large oil tankers can navigate through the channel only at high tides. Buffers can be installed at those terminals to significantly improve the one-way channel's capacity. This paper examines the buffer's location and size choices for a crude oil terminal with a one-way channel. A discrete-event simulator in-house was developed using Python to explicitly and model the buffer's location and size choices. The simulator accounts for a sufficient level of realism, including the tidal time windows for large tankers and the daytime operation constraints. Taking the Rizhao Shihua Oil Terminal of the Rizhao Port as the case study, this paper used the simulator to analyze the effects of various buffer locations and sizes on the port capacity and service level under two priority rules. They are the conventional "first come, first served (FCFS)" rule and a value priority (VP) rule that prioritizes the tankers with higher holding values. The results show that the VP rule can improve the terminal's capacity by up to 2.35% compared to the FCFS rule. The capacity increases as the buffer moves from the anchorage side to the dockyard side of the channel. The resulting improvement is up to 7.56%. Moreover, a one-way channel accompanied with a dockyard-side buffer holding one tanker only can attain 91.54% of the capacity of a two-way channel, manifesting the great potential of buffers. © 2023 Science Press. All rights reserved.</t>
  </si>
  <si>
    <t>10.16097/j.cnki.1009-6744.2023.03.027</t>
  </si>
  <si>
    <t>Simulation and Study of Location and Size of One-way Channel Buffers for Large Marine Crude Oil Terminals; [原油接卸港区单线航道避让区选址与规模仿真研究]</t>
  </si>
  <si>
    <t>REF_332</t>
  </si>
  <si>
    <t>In this paper a simulation model is developed for evaluation of different berthing scenarios in Shahid Ra-jaee Container Terminal. Model is trying to handle Berth Allocation and Quay-Crane Assignment Problems simultaneously for more efficient solutions. Validity of developed model is examined by sensitivity analysis on model parameters and after that three berthing scenarios has been put to test in model and obtained results suggests that 'Length Based Allocation' berthing scenario can reduce the turnaround time for vessels and also increase completed jobs by berth at a fixed time period. © 2013 IEEE.</t>
  </si>
  <si>
    <t>10.1109/WSC.2013.6721709</t>
  </si>
  <si>
    <t>Proceedings of the 2013 Winter Simulation Conference - Simulation: Making Decisions in a Complex World, WSC 2013</t>
  </si>
  <si>
    <t>Evaluation of different berthing scenarios in Shahid Rajaee container terminal using discrete-event simulation</t>
  </si>
  <si>
    <t>REF_331</t>
  </si>
  <si>
    <t>Containerships operating or berthing at ports contributes much to the drastic air pollution in port cities. In the paper, a multi-agent-theory-based simulation model is established and the impact of three different emission reduction strategies, namely, a shore power system, switching to low-sulfur marine fuels, and increasing quay crane efficiency on container ports’ emission reduction and their associated costs are analyzed with a case study of the Shekou Container Terminal in China. The objective is to lay a theoretical foundation for government to optimize its pollution reducing strategies with costs and emission reduction target considered. The results show that the shore power system achieves the highest comprehensive emission reduction effect for only one strategy adopted. A combination of shore power system and increasing quay crane efficiency has the highest emission reduction potential for pair strategies adopted. All three strategies combined acquire the most significant emission reduction and there is no negative correlation among these three strategies. From the perspective of economic benefits, a low-sulfur fuel oil strategy achieves the best performance in carbon dioxide and sulfur dioxide reductions. The research also suggests that if government has sufficient fund, usage of shore power system should be given priority; otherwise, a low-sulfur fuel oil measure is suggested. © 2021 Elsevier Ltd</t>
  </si>
  <si>
    <t>In Container Terminals, managing the external truck arrivals is one of the essential managerial activities that, typically, the terminal operators conduct continuously on the short term using a Truck Appointment System (TAS). However, the trucking companies are influenced by the developed appointments and schedules which affect their operations and resources. This paper introduces a collaborative TAS to enable the trucking companies and container terminals to share making the decisions on scheduling the external truck appointments. This paper proposes a Dynamic Collaborative Truck Appointment System (DCTAS) which adopts a simulation optimization approach which integrates a discrete event simulation model with a mixed integer programming model. The DCTAS considers some realistic parameters that enhance the development of reliable appointments that fit the dynamic and stochastic circumstances of container terminals environment. The performance of the developed DCTAS is investigated by solving a numerical instance. The results show that both the container terminals and trucking companies can gain benefits from using the DCTAS. Yard efficiency performance indicators such as the maximum queue lengths, average waiting times, maximum waiting times and average truck turn times are improved using the developed appointment system. © Springer International Publishing AG, part of Springer Nature 2018.</t>
  </si>
  <si>
    <t>10.1007/978-3-319-94767-9_6</t>
  </si>
  <si>
    <t>Communications in Computer and Information Science</t>
  </si>
  <si>
    <t>Impact of collaborative external truck scheduling on yard efficiency in container terminals</t>
  </si>
  <si>
    <t>REF_329</t>
  </si>
  <si>
    <t>Container reshuffling is a main factor influencing the efficiency of container terminals. In this paper, we present a state-of-the-art discrete-event simulation model to dynamically simulate every detail of container stacking, reshuffling and retrieving operations. Unlike the existing simulation softwares, our simulation model can evaluate and compare different reshuffling rules or algorithms in real-time by animation. Firstly, the container operations (storage, retrieval and reshuffle) in dynamic environments are imitated by animation under a self-developed simulation system. Secondly, the destination locations of each incoming container and each reshuffle container determined by a selected algorithm as well as the real-time results of operations are shown on the visual interface. The simulation experiments demonstrate that the simulation model can capture the required details in the process of container stacking, retrieving and reshuffling, and it is flexible enough to support the evaluations of different reshuffling rules in container terminals. © 2011 IEEE.</t>
  </si>
  <si>
    <t>10.1109/SOLI.2011.5986573</t>
  </si>
  <si>
    <t>Proceedings of 2011 IEEE International Conference on Service Operations, Logistics and Informatics, SOLI 2011</t>
  </si>
  <si>
    <t>Simulation study on reshuffling problem in logistics operations of a container terminal yard</t>
  </si>
  <si>
    <t>REF_328</t>
  </si>
  <si>
    <t>Hinterland terminals enable the transshipment of containers between various modes of transport and play a significant role in intermodal freight transportation. In this paper we present a simulation-based tool, that can be used to plan and design a rail-road container terminal, by simulating different terminal configuration in advance and accessing performance and utilization limits of the planned terminal. © 2008 IEEE.</t>
  </si>
  <si>
    <t>10.1109/WSC.2008.4736381</t>
  </si>
  <si>
    <t>Generic Simulation for rail-road container Terminals</t>
  </si>
  <si>
    <t>REF_327</t>
  </si>
  <si>
    <t>Emissions from idle truck engines are a main source of pollution at container terminals. In this study, we focus on reducing such emission from waiting trucks as well as the related crane operations with a new truck arrival control method that gives individual truck limited time slots for entry. We develop a method to optimize the time slot assignment for individual trucks, aiming at minimizing total emissions from trucks and cranes at import yards. The method applies discrete event simulation to estimate total truck waiting times and crane moving distance, and then applies a genetic algorithm to minimize the generated emissions from these trucks and cranes. The experiment result shows that the truck arrivals should be controlled based on the stacking of import containers, and that such control is necessary for reducing truck idling emissions at a congested container terminal. © 2014, Springer Science+Business Media New York.</t>
  </si>
  <si>
    <t>Annals of Operations Research</t>
  </si>
  <si>
    <t>REF_326</t>
  </si>
  <si>
    <t>Double cycling is used to improve the efficiency of quay cranes (QCs). However, higher QCs utilization increases the highest observed peak power demand of QCs, leading to a higher energy-related costs. Thus, this paper investigates the opportunities for peak shaving the power demand of QCs with double cycling by limiting the number of lifting QCs or the maximal energy demands of QCs. And some evaluation indicators are selected for assessment including the observed peak power demand, the productivity and utilization of QCs and the average waiting time of yard trucks (YTs). Considering the complexity and uncertainty of container terminals, this study establishes an agent-based simulation model to describe the operation processes of QCs, YTs and yard cranes (YCs), and visualize the power demands of QCs with double cycling. Finally, a series of computational experiments are carried out to explore the possibility of peak shaving the energy demand of QCs. The results show that both peak shaving policies are capable to reduce the power peaks of QCs with double cycling. And the policy of limiting maximal energy demands of QCs performs better which reduces the maximum energy demand as well as protecting electrical equipment without compromising higher QCs’ productivity. And the established agent-based simulation model can provide decision support for terminal operators to manage their energy consumption more smartly. © 2020 Elsevier B.V.</t>
  </si>
  <si>
    <t>10.1016/j.simpat.2020.102129</t>
  </si>
  <si>
    <t>Performance of peak shaving policies for quay cranes at container terminals with double cycling</t>
  </si>
  <si>
    <t>In this paper we show the SimConT approach in símulation of Binnenland Container Terminals (BCT). SimConT was used during the last years in several projects on capacity evaluation of BCT. During these works we collected some experiences on how to carry out simulation studies for BCT. Especially, main important steps are data collection of infrastructure, train related and load carrier data. Secondly, the detailed operation of the yard and finally during the analysis phase to adapt the study steps to the marginal productivity rate of the BCT. We will provide a guideline for conducting the simulation studies and connect it to the theoretical architecture of the SimConT simulation model(s). The guidelines also focus on how scenarios for the up following simulation runs are constructed in order to reach the marginal rates of the yard. During the works we were also able to identify relevant key data and indicators reflecting the BCT's performance. These indicators may be used for comparing the performance of different sites. Copyright © (2011) by CAL-TEK S.r.l.</t>
  </si>
  <si>
    <t>13th Int. Conference on Harbor, Maritime and Multimodal Logistics Modeling and Simulation, HMS 2011, Held at the International Mediterranean and Latin American Modeling Multiconference, I3M 2011</t>
  </si>
  <si>
    <t>Simcont - Theory and practice in simulation of binnenland container terminals</t>
  </si>
  <si>
    <t>REF_324</t>
  </si>
  <si>
    <t>Port terminals consist of two interfaces for transferring cargo among transport modes: (1) the seaside or quayside interface and (2) the landside interface. At the seaside interface, cargo is loaded and unloaded from the vessels and stored temporarily at the yard. Landside operations consist of receiving and dispatching cargo from external trucks and rail. The increasing volumes of international trade are demanding more efficient cargo handling throughout the port logistic chain and coordination with the hinterland, hence attracting more attention from both practitioners and researchers on the landside interface of ports. Due to the high variability of truck arrivals with a significant concentration at peak hours, congestion at the access gates of ports and an unbalanced utilization of the resources occur. Truck appointment systems (TAS) have already been implemented in some ports as a coordination mechanism to reduce congestion at ports, balance demand and capacity, and reduce truck turnaround times. Based on the current situation faced by the Port of Arica, Chile, this paper aims to analyze potential configurations of a TAS and evaluate its impacts on yard operations, specifically in the reduction of container rehandles, as well as truck turnaround times. For this, a discrete-event simulation model and a heuristic procedure are proposed and experimentation is performed using historical data from the port terminal. Results indicate that implementing a TAS may significantly benefit yard operations in terms of reducing container rehandles as well as truck waiting times. © 2016, Springer Science+Business Media New York.</t>
  </si>
  <si>
    <t>REF_323</t>
  </si>
  <si>
    <t>Container terminals play a significant role as representative logistics facilities for contemporary trades by handling outbound, inbound, and transshipment containers to and from the sea (shipping liners) and the hinterland (consignees). Capacity planning is a fundamental decision process when constructing, expanding, or renovating a container terminal to meet demand, and the outcome of this planning is typically represented in terms of configurations of resources (e.g., the numbers of quay cranes, yard cranes, and vehicles), which enables the container flows to satisfy a high service level for vessels (e.g., berth-onarrivals). This study presents a decision-making process that optimizes the capacity planning of large-scale container terminals. Advanced simulation-based optimization algorithms, such as Multi-Objective Multi- Fidelity Optimization with Ordinal Transformation and Optimal Sampling (MO-MO2TOS), Multi-Objective Optimal Computing Budget Allocation (MOCBA), and Multi-Objective Convergent Optimization via Most- Promising-Area Stochastic Search (MO-COMPASS), were employed to formulate and optimally solve the large-scale multi-objective problem with multi-fidelity simulation models. Various simulation results are compared with one another in terms of the capacities over different resource configurations to understand the effect of various parameter settings on optimal capacity across the algorithms. © 2017 “IISE”.</t>
  </si>
  <si>
    <t>10.1080/24725854.2017.1318229</t>
  </si>
  <si>
    <t>Capacity planning for mega container terminals with multi-objective and multi-fidelity simulation optimization</t>
  </si>
  <si>
    <t>REF_322</t>
  </si>
  <si>
    <t>This study is a driving analysis of the transfer data of container terminals based on simulation interactive modeling technology. In the context of a container yard, a model was established to analyze and predict the arrival time and influencing factors of container transportation through the data from the control center of the yard. The economic benefit index in the index system was determined through expert consultation, the automatic terminal can be obtained by acquiring the actual operating parameters of the terminal, and the terminal to be built can be acquired mainly through simulation modeling. Therefore, when determining the design scheme before constructing the automated container terminal, a terminal simulation model needs to be established that meets the requirements of loading and unloading operations and terminal production operations. In addition, an automated container terminal simulation model needs to be implemented to verify the feasibility of the evaluation model. The results reveal that the accuracy of the current prediction model is still limited—the highest accuracy is only 72%, whether there are continuous or discrete variables, traffic or weather variables. Moreover, the study denotes that the relationship between weather and specific time factors and the arrival time of containers is weak, even negligible. This study provides guidance and decision-making support for the construction of automated terminals. © 2023 by the authors.</t>
  </si>
  <si>
    <t>In this paper, a comparison between three transportation systems for the overland transport of containers between container terminals is presented. A simulation model has been developed to assist in this respect. Transport in this study can be done by either multi-trailers, automated guided vehicles or automated lifting vehicles. The model is equipped with a rule-based control system as well as an advanced planning algorithm. The model is applied to a realistic scenario for the Maasvlakte situation in the near future. The experiments give insight into the importance of the different characteristics of the transport systems and their interaction with the handling equipment. Finally, a cost analysis has been executed to support management investment decisions.</t>
  </si>
  <si>
    <t>10.1007/s00291-006-0056-1</t>
  </si>
  <si>
    <t>REF_320</t>
  </si>
  <si>
    <t>In order to solve the multi-stage dynamic scheduling problem of container terminal logistics system using FMS (flexible manufacture system) scheduling methods for reference, a model was presented to transform it to the production scheduling problem in FMS. The rule-based method is feasible to implement the dynamic and real time scheduling about container terminal logistics by analyzing decision points and rules of each scheduling stage. The transformation model and scheduling method provide one innovative idea to solve the scheduling problem in container terminal. Besides, two scheduling simulation models (operation line-oriented static scheduling and operation area-oriented dynamic scheduling) were built by WITNESS simulation software and compared to the simulation results. The production efficiency is improved 9.66% by the dynamic model.</t>
  </si>
  <si>
    <t>Shanghai Jiaotong Daxue Xuebao/Journal of Shanghai Jiaotong University</t>
  </si>
  <si>
    <t>Simulation study of container terminal scheduling system</t>
  </si>
  <si>
    <t>REF_319</t>
  </si>
  <si>
    <t>Several use of simulation tool in intermodal container terminal are presented. Initially, an overview of the operations within Casablanca container terminal is described. Then it is shown the simulation model that we have proposed and its calibration and validation. Finally, we discuss the design of a decision support system to assist the management in real time decision making. © 2003 IEEE.</t>
  </si>
  <si>
    <t>10.1109/ISSPIT.2003.1341235</t>
  </si>
  <si>
    <t>Proceedings of the 3rd IEEE International Symposium on Signal Processing and Information Technology, ISSPIT 2003</t>
  </si>
  <si>
    <t>REF_318</t>
  </si>
  <si>
    <t>International seaborne trade rose significantly during the past decades. This created the need to increase capacity of existing marine container terminals to meet the growing demand. The major objective of this paper is to evaluate the floaterm concept using simulation modeling and determine if it can improve terminal productivity. The main difference between floaterm and conventional marine container terminals is that, in the former case, transshipment containers are handled by off-shore quay cranes and stored on container barges. Two terminal configurations performance is compared (vessel handling times and equipment utilization) under normal and disruptive conditions. Computational experiments confirm preliminary expectations that the floaterm concept can enhance efficiency of marine container terminal operations under normal and disruptive conditions. © 2015 Elsevier B.V. All rights reserved.</t>
  </si>
  <si>
    <t>10.1016/j.simpat.2015.02.008</t>
  </si>
  <si>
    <t>Evaluation of the floaterm concept at marine container terminals via simulation</t>
  </si>
  <si>
    <t>Port Container Terminal (PCT) involves multi organizations whiAR are Customer, PCT, Custom, and Quarantine. The business processes of those organizations interact asynARronously from container arrivals to the release of the containers. An organization can be handled by multi agents, whiAR represent the actors involved to perform a sequence of activities (tasks) in the organization. AsynARronous Waiting Time (AWT) occurs when an agent assigns a task to another agent whiAR is still working on another task. The previous study discovered that AWT contributes a significant amount of time. Therefore, this researAR proposes a method to reduce the AWT by parallelizing the agents of an organization and simulating the parallelized agents using agent based simulation. The simulation results time and cost are then optimized using three methods namely StoARastic Multi-Criteria Adaptability Analysis-2 (SMAA-2), Multi Objective Optimization on the Basis of Ratio Analysis (MOORA), and Complex Proportional Assessment (COPRAS). The three methods aARieve the same reduced AWT to 9.4%. From those methods, MOORA aARieves the highest accuracy of 80% and the sensitivity coefficient of 7. However, COPRAS results in 78% accuracy with lower sensitivity coefficient of 6. SMAA-2 results in the lowest accuracy of 40% and the highest sensitivity coefficient of 13. © 2019 Intelligent Network and Systems Society.</t>
  </si>
  <si>
    <t>10.22266/ijies2019.1231.25</t>
  </si>
  <si>
    <t>International Journal of Intelligent Engineering and Systems</t>
  </si>
  <si>
    <t>Optimization of time and cost of multi organization business processes in a port container terminal</t>
  </si>
  <si>
    <t>This article investigates the impact of container yard layout on the cargo handling time of intermodal trains operating at container terminals, with a particular emphasis on the number of stacking layers used in container storage. The study focuses on how varying vertical storage configurations influence the duration of crane loading cycles as well as the energy consumption of transshipment equipment. In addition to the stacking layout, the analysis incorporates several operational constraints that are critical in intermodal rail transport, including the locking pin arrangements on railcars, container gross weights, and axle load limitations specific to intermodal wagons. The theoretical section outlines the fundamental role of intermodal terminals within global logistics and supply chains. It delves into the organization of container storage within terminal yards, highlighting its influence on handling performance and the overall turnaround time of intermodal transport units. Furthermore, the article includes a comprehensive literature review that examines state-of-the-art research on container yard storage strategies, allocation rules, and various optimization approaches aimed at improving yard efficiency. To evaluate the operational impact of different stacking strategies, a simulation model was developed using the FlexSim platform. The model allows for detailed analysis of crane cycle times in relation to stacking configurations, while also accounting for the energy usage of cranes and handling equipment. The simulations were carried out for a range of stacking scenarios to reflect real-world variability and constraints encountered in container terminals. The findings reveal that the relationship between the number of stacking layers and train loading time or energy consumption is non-linear and often counterintuitive. Increasing the number of layers does not necessarily lead to proportional gains or losses in efficiency. Instead, certain configurations may result in operational bottlenecks or increased energy use due to additional crane repositioning and container relocations. The research not only provides quantitative evidence on the operational consequences of yard design decisions but also offers practical insights for terminal planners and operators. These insights can support both short-term operational planning and long-term strategic investments aimed at optimizing terminal performance and sustainability. © 2025 Warsaw University of Technology. All rights reserved.</t>
  </si>
  <si>
    <t>10.61089/aot2025.4f22k916</t>
  </si>
  <si>
    <t>Archives of Transport</t>
  </si>
  <si>
    <t>THE IMPACT OF CONTAINER YARD LAYOUT ON THE CARGO HANDLING TIME OF EXTERNAL TRANSPORT VEHICLES IN AN INTERMODAL TERMINAL</t>
  </si>
  <si>
    <t>By applying the object-oriented simulation modeling method of discrete event system, this paper establishes an simulating model of container terminal operating system, including vessels, anchorages, berths, gantry cranes, internal and external container trucks and gate system. In order to solve the quay crane scheduling problem of container terminal, a lot of stochastic factors in the problem are taken into account. Simulation-based optimization (SBO) method is proposed to solve the problem. Genetic algorithm, particle swarm algorithm and simulated annealing algorithm are used respectively as the superior optimizer, and their application performance is compared and analyzed. © 2017 IEEE.</t>
  </si>
  <si>
    <t>10.1109/CCDC.2017.7978689</t>
  </si>
  <si>
    <t>Proceedings of the 29th Chinese Control and Decision Conference, CCDC 2017</t>
  </si>
  <si>
    <t>Simulation-based optimization on quay crane scheduling of container terminals</t>
  </si>
  <si>
    <t>REF_314</t>
  </si>
  <si>
    <t>This paper investigates the efficiency of different models in shaping the transfer function of port container terminals by coordinating the handling equipment's activity. Differences in the productivity of the handling equipment and the limited capacity of the storage area at berth generate deadlock situation that could be handle through three correlation procedures: (i) adjusting the productivity to the minimum when the storage area is fully used; (ii) on/off control of the most efficient equipment, and (iii) limitation of the productivity of the most performing equipment. These techniques and the variations in input elements (ships arrival rate, containers number to unload/load, berth storage area) are taken into account for choosing the best strategy of port activity. A simulation model, developed with ARENA software, is created to analyse the port activity. Beyond the analytical models that deal with one ship handling process, the simulation model could take into consideration the process on a period of time, allowing studying the impact of stochastic elements on the process. The model contains the following modules: the vessels arrival, waiting in harbour, anchorage, containers unloading/loading on the vessels, temporary storage at berth, container transfer to inland storage area, and vessel departure. Computer simulations allow analysing random variable of the vessels time spent in port. The mean value should be kept at minimum and thus the best handling strategy could be identified. In addition, the sensitivity of the results according to the variation of the input elements is obtained. © 2018 The Authors. Published by Elsevier B.V.</t>
  </si>
  <si>
    <t>10.1016/j.promfg.2018.03.121</t>
  </si>
  <si>
    <t>Procedia Manufacturing</t>
  </si>
  <si>
    <t>Optimization of the transfer function through handling productivity control in port container terminals</t>
  </si>
  <si>
    <t>REF_313</t>
  </si>
  <si>
    <t>In this paper, we design, analyze, and evaluate a novel automated container terminal (ACT), namely, the rail-shuttle-based ACT. To analyze the performance, one detailed simulation system is built based on parametric design ideas. Two different microscopic rail-shuttle-based ACT simulation models, in which either straddle carriers (SCs) or automated guided vehicles with lifting devices (lift-AGVs) are employed, are formulated. Simulation experiments are carried out to obtain a reasonable equipment configuration for the proposed ACT. The results indicate that the performance of conventional ACTs can be improved if equipped with rail shuttles, and the performance of the rail-shuttle-based ACT with SCs exceeds that with lift-AGVs. © 2000-2011 IEEE.</t>
  </si>
  <si>
    <t>10.1109/TITS.2015.2425547</t>
  </si>
  <si>
    <t>IEEE Transactions on Intelligent Transportation Systems</t>
  </si>
  <si>
    <t>A Simulation Study on the Design of a Novel Automated Container Terminal</t>
  </si>
  <si>
    <t>REF_312</t>
  </si>
  <si>
    <t>Many shipping companies, which are seeking the economy of scale, are making their ultra large containerships call only at a hub port in certain areas. For this reason, many major ports of the world are making an aggressive investment in their ports to be a hub port. Therefore, a container terminal should concentrate on the efficiency of terminal operation in the long-term view and analyze the impact of the introduction of high technology, automated equipment and intelligent information system, so that it may enhance its reliability and competitive power in intense global competition. To this end, first this study has tried to find out the factors that affect competitiveness of a container terminal and the relationship among them. And then we have used a System Dynamics method to analyze an effect according to the fluctuation of the factors in the long term. The analyzed results can make enhance competitiveness of a container terminal.</t>
  </si>
  <si>
    <t>WSEAS Transactions on Information Science and Applications</t>
  </si>
  <si>
    <t>Development of a model based on system dynamics to strengthen the competitiveness of a container terminal</t>
  </si>
  <si>
    <t>REF_311</t>
  </si>
  <si>
    <t>Production Planning and Control</t>
  </si>
  <si>
    <t>REF_310</t>
  </si>
  <si>
    <t>Controlling and managing traffic flows on internal roads in container terminals are crucial in achieving expected productivity levels and reducing negative externalities caused by congestion inside and outside the terminal areas. This paper proposes a simulation approach which terminal operators can use as a decision-support tool to assess the effects of their management strategies and improve terminal performance, resilience, and sustainability. A microscopic traffic simulation approach models key operations of a typical container terminal affecting road traffic flows. In particular, to estimate quantitative indicators, an import truck process is reproduced, considering the overlapping of the external truck and internal trailer flows. To measure environmental impacts, the model is extended with an instantaneous emissions model linked directly to the step-by-step traffic data. The proposed method is tested on a sector of the PSA Genova Pra’, the main Italian container gateway terminal. Performance indicators related to the terminal’s efficiency and sustainability are estimated, to compare alternative scenarios considering possible operational configurations and disturbance events, such as the closure of a part of the yard. By focusing on the interactions between vehicle flows and terminal equipment operations, this approach offers a new perspective on terminal operations, oriented both towards container terminal operators and stakeholders, such as road hauliers. © The Author(s) 2024.</t>
  </si>
  <si>
    <t>10.1057/s41278-024-00300-5</t>
  </si>
  <si>
    <t>Maritime Economics and Logistics</t>
  </si>
  <si>
    <t>Advances in terminal management: simulation of vehicle traffic in container terminals</t>
  </si>
  <si>
    <t>To enhance the energy efficiency of liquefied natural gas (LNG) terminals, this study developed a full-process dynamic simulation model using Aspen HYSYS (hereinafter referred to as HYSYS) to accurately replicate the time-varying energy consumption characteristics of key processes, including unloading, tank boil-off gas (BOG) management, recondensation, and vaporization for send-out. Through dynamic analysis of the impact of different operating conditions on the energy consumption of critical equipment, methane content and compressor outlet pressure were identified as sensitive factors, and multivariable interaction effects were quantified. Combining the Particle Swarm Optimization (PSO) algorithm to optimize equipment operating parameters and incorporating constraints such as equipment start-stop frequency and flare emissions, process improvements were achieved, including intelligent pre-cooling during unloading, multi-mode vaporization coupling, and model predictive control for storage tanks. Safety response logic under extreme conditions was also enhanced. Field validation results show that the optimized system reduces total energy consumption by 18.5%, with a relative error between simulated and field data of ≤13%. Daily equipment start-stop cycles decreased from five to two times, and flare emissions were reduced from 25 kg/h to 12 kg/h. Within a 95% confidence interval, the total energy consumption prediction fluctuated by ±4.2%, demonstrating good model stability. This study provides reliable technical support for energy-efficient operation of LNG terminals. The proposed multivariable interaction analysis and safety control strategies under extreme conditions further enhance the engineering applicability of the optimization framework. © 2025 by the authors.</t>
  </si>
  <si>
    <t>10.3390/pr13092962</t>
  </si>
  <si>
    <t>Processes</t>
  </si>
  <si>
    <t>Energy Consumption Analysis and Optimization of LNG Terminals Based on Aspen HYSYS Dynamic Simulation</t>
  </si>
  <si>
    <t>International Journal of Simulation Modelling</t>
  </si>
  <si>
    <t>The integrated scheduling problem in container terminal with dual-cycle operation</t>
  </si>
  <si>
    <t>REF_307</t>
  </si>
  <si>
    <t>Crude oil is a major commodity transported through ports. Determining the optimal throughput level of crude oil terminals is crucial for efficient utilization of coastal resources and sustainable development of ports. This paper develops a simulation model for estimating the logistics costs associated with the unloading operations of oil tankers at a terminal using the simulation package Arena. The model parameters are estimated using real data collected from a major crude oil terminal in China. Simulation results unveil the optimal throughput level that minimizes the overall logistics cost per ton of crude oil unloaded for a given terminal. In addition, the simulation is modified to examine various combinations of infrastructure improvements: adding a berth, upgrading handling equipment, and dredging the navigation channel. Their impacts on the optimal throughput level and the unit logistics cost are quantified, and suggestions on port infrastructure investments are provided. © 2015 Coastal Education and Research Foundation, Inc.</t>
  </si>
  <si>
    <t>10.2112/SI73-109.1</t>
  </si>
  <si>
    <t>Journal of Coastal Research</t>
  </si>
  <si>
    <t>Optimal throughput of crude oil terminals with options for infrastructure improvements</t>
  </si>
  <si>
    <t>REF_306</t>
  </si>
  <si>
    <t>The conventional approach of designing a container yard should be reexamined in the context of sustainable port development. Considering the uncertain future throughput, a simulation-based optimization framework is proposed to obtain a cost-effective and reliable design solution to the physical layout and equipment deployment strategy of the yard at a mega container terminal. In this framework, a two-stage stochastic programming model is presented aided with a simulation procedure of terminal operations. Finally, an application is given and the results show that the proposed integrated decision framework is effective and helpful for optimizing container yard design in the context of sustainable development of container terminals. © 2016 Yong Zhou et al.</t>
  </si>
  <si>
    <t>Mathematical Problems in Engineering</t>
  </si>
  <si>
    <t>Achievement of a desirable level of customer service at intermodal terminals mainly depends on the efficient loading and unloading of trains without delays. The efficiency of the transfer between the modes in the terminal area can have a significant effect on these delays. In this article, an analytically based simulation model is developed to investigate delays of trains for different service configurations. Simulation outputs are used to find an optimum balance of the cost of train delays and variation from the desired level of service. Data from the Acacia Ridge Terminal in Brisbane, Australia are used to validate and test the model.</t>
  </si>
  <si>
    <t>10.1080/03081060601075716</t>
  </si>
  <si>
    <t>Optimum capacity for intermodal container terminals</t>
  </si>
  <si>
    <t>REF_304</t>
  </si>
  <si>
    <t>The throughput capacity of a container terminal is very important in planning and designing at container terminals. The existing methods estimated the throughput capacity without considering its change resulting from the different combination patterns of the types of arriving vessels. A simulation model is established to estimate the throughput capacities of a container terminal under different combination patterns of the types of arriving vessels. It shows that the throughput capacity of a container terminal is influenced by the utilization rates of the berth and quay cranes which result from the different combination patterns of the types of the arriving vessels. It provides a practical approach to estimate the throughput capacity of a container terminal considering the types of the vessels, and it is also helpful for the decision makers to raise the throughputs of the container terminals by optimizing the combination patterns of the types of arriving vessels. © Shanghai Jiaotong University and Springer-Verlag Berlin Heidelberg 2010.</t>
  </si>
  <si>
    <t>10.1007/s12204-010-8174-y</t>
  </si>
  <si>
    <t>Journal of Shanghai Jiaotong University (Science)</t>
  </si>
  <si>
    <t>Throughput capacity of a container terminal considering the combination patterns of the types of arriving vessels</t>
  </si>
  <si>
    <t>REF_303</t>
  </si>
  <si>
    <t>As a type of intermodal terminal, pure Ro–Ro terminals are one of the most important logistic hubs in the supply chain for rolling freight stored in containerized and wheeled steel boxes. These large-scale systems are highly complex, with nonlinear and hard-to-predict behavior evolving in a stochastic environment. Consequently, making decisions about any problem thereof is no mean feat, particularly for terminal planners. To assist them in decision-making, a pool of relevant models and tools have been developed over the years in the literature. Nevertheless, models that are oriented toward specific objectives dominate, and generic ones are rare. This paper tries to fill this gap and proposes a generic framework to be used as a factory to create specific decision support models based on simulation for pure Ro–Ro terminals. This framework is formulated following two artifacts: (1) the known classification of key performance indicators combined with the typical functional and physical organization of pure Ro–Ro terminals; (2) the three main arteries of harbor systems, namely flows, decisions and operations. Then a scalable way of making decisions based on a flexible form of the cost function weighted according to a set of coefficients is integrated. These designed coefficients allow decision-makers a wide flexibly in choosing how the best solutions are determined. An application of this framework is illustrated through a real case study, where the weights are estimated using an expert-profiling based approach then pushed into the OptQuest optimizer to be calibrated before analyzing the results. These results are aggregated, then expressed as scores on a scale of 0 to 1. This is to help terminal planners to easily identify the worst and best planning scenarios as well as the relationships and compatibilities between the involved handling rules to suggest different alternatives for managing operations. © 2023 The Author(s)</t>
  </si>
  <si>
    <t>10.1016/j.cie.2023.109248</t>
  </si>
  <si>
    <t>A simulation-based decision support framework devoted to Ro–Ro terminals: Design, implementation and evaluation</t>
  </si>
  <si>
    <t>The focus of the paper is in quayside transport and storage yard operations in container terminals. Relevant algorithms have been applied and a simulation model adopted. Evaluative criteria chosen for that model were: the total time of ship unloading and the truck utilization level. Recommendations for unloading in berth and yard areas were analysed in three different case studies. Results of simulations and deterministic model based analyses are included.</t>
  </si>
  <si>
    <t>10.1515/pomr-2017-0020</t>
  </si>
  <si>
    <t>Simulation Studies into Quayside Transport and Storage Yard Operations in Container Terminals</t>
  </si>
  <si>
    <t>This paper aims to apply a supply-chain modelling and its analysis framework to the supply chain in the port industry. The simulation approach serves two purposes: to model a supply-chain network in quantity approach and to evaluate its supply-chain performance based on proposed strategies. Through the modelling works to improve the performance, components of simulation model, such as input model, strategy model, operational policy model and performance model, in the port supply chain were identified. The effects of various strategies can guide the way to administrate the supply chain in the different objectives.</t>
  </si>
  <si>
    <t>10.1080/0308883032000114072</t>
  </si>
  <si>
    <t>A simulation study for the logistics planning of a container terminal in view of SCM</t>
  </si>
  <si>
    <t>REF_300</t>
  </si>
  <si>
    <t>With the development of automated container terminals (ACTs), various layouts of terminals are emerging. In this study, we take the operation in ACT with U-shaped layout as the research object, analyze the characteristics of the ACT layout and the operation process. Based on that, we construct a multi-agent-based simulation model for operations in ACT with a U-shaped layout, considering the coupling operation of double trolley quayside crane (DTQC), intelligent guide vehicle (IGV) and double cantilever automatic rail mounted gantry crane (DCARMG). Finally, we take an actual ACT as an example to verify the validity of the simulation model and analyze the impact of different DCARMG operation strategies and the number of IGVs on the efficiency of terminal operations. © 2022 ACM.</t>
  </si>
  <si>
    <t>10.1145/3547578.3547587</t>
  </si>
  <si>
    <t>A Multi-Agent-based Simulation Model for Operations in the Automated Container Terminal with a U-Shaped Layout</t>
  </si>
  <si>
    <t>REF_299</t>
  </si>
  <si>
    <t>This paper presents a decision support system for the core problem of berth allocation decision in a container terminal. The allocation of berths to the calling vessels is complex with the fact that different service level requirements are required for different vessels. Terminal managers demand for effective decision support systems that would aid them with the allocation problem considering service priorities. Consequently, this study provides a DSS, built by a dynamic discrete-event simulation model embedded with an optimization tool that determines the priority controls for the berth allocation to the calling vessels. To show the practical application of the DSS, a comprehensive case study from a Turkish container terminal considering the current state and future expansion plans that also provides an indication of the usability aspect of the program on other ports around the world has been conducted. Further experiments are conducted based on data from the Port of Rotterdam. The DSS presented in this study may help port authorities in determining more efficient allocation decisions within a container terminal. © 2015, The Author(s).</t>
  </si>
  <si>
    <t>10.1007/s10479-015-1912-7</t>
  </si>
  <si>
    <t>Priority control of berth allocation problem in container terminals</t>
  </si>
  <si>
    <t>Port terminals on floating modular platforms are a conceivable solution for the problem of limited space and water depths restrictions of ports in estuary regions. A design of a dedicated Transport&amp;Logistic hub has been developed in the scope of the Horizon 2020 project Space@Sea. This paper addresses dedicated options of waterborne hinterland transports and discusses opportunities for bypassing onshore terminals by means of river-sea or sea-going inland vessels. A tailored simulation method for ship operations utilises a specific cost model and is applied to derived demand scenarios. Cargo flow statistics of an onshore port have been projected onto the hub to identify relevant waterborne transports to the hinterland. Three different vessel types are implemented, whereas inland vessels are considered with two different sizes. A comparison of round trip durations and transport costs per transported container between a floating terminal and a relevant hinterland port pointed out, that a non-stop connection with sea-going inland vessels is the economically favourable solution. A feeder vessel is the faster solution in coastal waters but it can not compensate the time saved by omitted terminal visits on a direct hinterland connection. © 2020, Springer Nature Switzerland AG.</t>
  </si>
  <si>
    <t>10.1007/978-3-030-59747-4_7</t>
  </si>
  <si>
    <t>Lecture Notes in Computer Science (including subseries Lecture Notes in Artificial Intelligence and Lecture Notes in Bioinformatics)</t>
  </si>
  <si>
    <t>Waterborne Hinterland Transports for Floating Port Terminals</t>
  </si>
  <si>
    <t>REF_297</t>
  </si>
  <si>
    <t>Intelligent guided vehicle (IGV) task allocation and charging scheduling at automated container terminal (ACT) are two important operational links that interact with each other. The joint scheduling problem of IGV task allocation and charging aims to improve the operational coherence and efficiency of the transportation system. In the parallelly arranged ACT, since IGV needs to enter the yard for side loading operations, the task allocation will greatly affect the empty travel distance and power consumption of IGV. In addition, the dual-cycling mode and the changes in power consumption rate under different IGV operation states make the above joint scheduling problem more complicated. In order to solve this problem, this paper uses the Markov decision process to characterize the IGV bidirectional task allocation and charging joint scheduling problem, and designs a multi-agent simulation optimization method based on deep reinforcement learning to generate a real-time adaptive scheduling solution. Considering the comprehensive impact of the agent's long-term and short-term goals, a reward function is designed, and the deep neural network training is used to guide the IGV agent to choose the action with the largest expected cumulative reward. In addition, an adaptive double threshold charging strategy is designed, under which IGV can flexibly select the minimum charging threshold according to the system status. Finally, a multi-agent fine-grained simulation model is constructed to verify the effectiveness of the proposed method. Through comparative experiments with three single heuristic scheduling rules, different reinforcement learning algorithms and a fixed single-threshold charging strategy, it is proved that the new method can improve the operating efficiency of the system and the battery utilization of the IGV, and reduce the empty travel time of the IGV. Simulation experiments show that flexible task allocation and charging strategies can better adapt to the complex and dynamic operating environment of the ACT. © 2025 Elsevier Ltd</t>
  </si>
  <si>
    <t>10.1016/j.cor.2025.107189</t>
  </si>
  <si>
    <t>A deep reinforcement learning based multi-agent simulation optimization approach for IGV bidirectional task allocation and charging joint scheduling in automated container terminals</t>
  </si>
  <si>
    <t>Empty container depot (ECD) design significantly impacts maritime terminal efficiency, yet traditional evaluation approaches assess limited operational factors, constraining comprehensive performance optimization. This study develops an integrated discrete event simulation (DES) framework that simultaneously evaluates lifting equipment utilization, truck turnaround times, and potential collisions to support terminal decision-making. This study combines operational efficiency metrics with safety analytics for non-automated ECDs using Top Lifters and Reach Stackers. Additionally, a regression analysis examines efficiency metrics’ effect on safety risk. A case study at a Chilean multipurpose terminal reveals performance trade-offs between indicators under different operational scenarios, identifying substantial efficiency disparities between dry and refrigerated container operations. An analysis of four distinct collision zones with varying historical risk profiles showed the gate area had the highest potential collisions and a strong regression correlation with efficiency metrics. Similar models showed a poor fit in other conflict zones, evidencing the necessity for dedicated safety indicators complementing traditional measures. This integrated approach quantifies interdependencies between safety and efficiency metrics, helping terminal managers optimize layouts, expose traditional metric limitations, and reduce safety risks in space-constrained maritime terminals. © 2025 by the authors.</t>
  </si>
  <si>
    <t>Aiming at the problem of the allocation of lock stations in the unlocking operation for ART (Artificial Intelligence Robot of Transportation) in a new type of automated container terminal, this paper proposes two strategies, dynamic allocation and random allocation, to achieve the allocation of ART in lock stations. Combining two strategies with Anylogic simulation software, this paper constructs a simulation model of lock station allocation in ART unlocking operation, and develops three indexes, including the utilization rate of lock station, operation time of ART and waiting time of ART in the pre-parallel buffer (QPB). The simulation results show that the dynamic allocation strategy play the main role in lock stations, reduce the operation time and queuing time of ART, and have a good application value. © 2021 IEEE.</t>
  </si>
  <si>
    <t>10.1109/ICTIS54573.2021.9798523</t>
  </si>
  <si>
    <t>6th International Conference on Transportation Information and Safety: New Infrastructure Construction for Better Transportation, ICTIS 2021</t>
  </si>
  <si>
    <t>Lock Station Allocation in Unlocking and Padlocking Operation of ART in Automated Container Terminal</t>
  </si>
  <si>
    <t>REF_294</t>
  </si>
  <si>
    <t>The port operational plan which is optimized before the vessel arrives tends to be disrupted by some uncertainties. And the pre-arranged scheduling plan will be not optimal or even infeasible. In this paper, we focus on the integrated berth and quay crane allocation under disruption. First, an initial allocation model is formulated without taking account of the disruption. Second, a simulation-based strategy is proposed to deal with disruptions. Vessels’ berthing times and berthing positions are constrained within stable modes which are extracted through multiple disruption simulations. Under these constraints, a mixed integer linear programming model is presented to solve the integrated berth and quay crane allocation problem. Furthermore, an efficient method is presented to determine the specific quay cranes which serve a vessel. Additionally, four experimental scenarios are designed and conducted on several test instances to validate the performance of the proposed strategy. This strategy proves to be viable. It not only better maintains the stability of the initial scheduling plan but also prevents excessive use of port resources. © 2016 IJICIC Editorial Office. All rights reserved.</t>
  </si>
  <si>
    <t>International Journal of Innovative Computing, Information and Control</t>
  </si>
  <si>
    <t>A novel strategy for berth and quay crane allocation under disruption in container terminal</t>
  </si>
  <si>
    <t>REF_293</t>
  </si>
  <si>
    <t>Tasks and procedures involving lashing/unlashing operators have evident ergonomic criticalities but looking at the scientific background and on actual regulations there is a lack of attention toward procedures for a full ergonomic risk assessment. There are no scientific articles, no normative and standards that report ergonomic assessments for lashing and unlashing operations. According to this research gap, the proposed research seeks to contribute at different levels: carrying out a context analysis on how lashing and unlashing operations are carried out; identifying tools and methodologies that can support a comprehensive ergonomic analysis; combining the elements mentioned above in a risks assessment framework for ergonomic evaluation and prioritization. While pursuing such goals, the authors came up with a risk assessment framework based on simulation coupled with ergonomic methods and Analytical Hierarchy Process (AHP). An application of the framework has been conducted in an Italian container terminal in 2021. First, processes and tasks have been analyzed to develop a simulation model capable of reproducing the evolution over the time of the real system. As next step, the ergonomic issues related to lashing/unlashing operations have been identified by applying the ergonomic methods through the simulation model. Finally, AHP has been used to rank, in an analytical way, critical ergonomic operations and to establish priority of interventions. The identification of critical ergonomic issues along with their analytical prioritization provide operations management as well as normative and standard makers with meaningful inputs towards greater standardization of procedures, based on ergonomic factors, in container terminal sector. © 2022 Elsevier Ltd</t>
  </si>
  <si>
    <t>Safety Science</t>
  </si>
  <si>
    <t>A risk assessment framework based on ergonomic methods and AHP for prioritizing interventions to prevent container terminal operator's musculoskeletal disorders</t>
  </si>
  <si>
    <t>The freight logistics includes all the processes needed to supply industry, retailers and wholesalers and final customers with goods. Such processes generate a flow of goods that, in the global supply chain, mainly relies on the activities carried out within worldwide container terminals. In this paper, the authors present a simulation model of a real container terminal. After some preliminary analyses, the simulation model is first used with Design of Experiments and Analysis of Variance to investigate the effects of different resources allocations (i.e., number of forklifts and tractors) and some parameters (i.e., inter-arrival times, container unloading time) on the container terminal performances in terms of total number of handled containers per day. Then, based on the results achieved through the Design of Experiments and Analysis of Variance, the simulation model is used with genetic algorithms to carry out a range allocation optimization on berth assignment to incoming ships and number of tractors serving each quay crane. The aim of the optimization is the minimization of the average time spent by each ship in the port area (decreasing, as consequence, costs and increasing service level provided to final customers). © 2012 World Scientific Publishing Company.</t>
  </si>
  <si>
    <t>10.1142/S1793962312400065</t>
  </si>
  <si>
    <t>International Journal of Modeling, Simulation, and Scientific Computing</t>
  </si>
  <si>
    <t>Simulation, analysis and optimization of container terminals processes</t>
  </si>
  <si>
    <t>REF_291</t>
  </si>
  <si>
    <t>The concept of capacity associated to service level is something that can be used with simulation in several situations that involve logistic and commercial planning of organizations, because it enables a practical vision of real behavior of a system, facilitating the comprehension of existent bottlenecks. This paper presents a methodology of determination of capacity of a port from offered service levels, using a discrete events simulation model developed in software ARENA. Moreover, it is considered the systemic approach as methodology, enabling a more practical and fast determination of operational bottleneck. The simulation model can to reflect strategies that would be implemented to boost the current port's capacity and demonstrates that it would increase capacity from 39.5 to 64.2 Mt/year, with the berths being the only resources that would achieve the 85% utilization threshold. © 2015 IEEE.</t>
  </si>
  <si>
    <t>10.1109/WSC.2015.7408503</t>
  </si>
  <si>
    <t>Analysis of capacity associated to levels of service at port terminals using systemic approach and simulation of discrete events</t>
  </si>
  <si>
    <t>REF_290</t>
  </si>
  <si>
    <t>Automated container terminals can achieve precise matching of equipment and space, thus forming the foundation for the terminals’ efficient operation. However, the increase in container volume requires the construction of more ACTs. Existing studies lack dynamic assessment of the deep coupling between the P-shaped layout and the terminal’s system performance verification under peak operating conditions. To solve these problems, this paper aims to evaluate the system performance of the process layout in the application of ACTs through simulation methods. We have identified the differences in indicators among various schemes, thereby providing decision support for the construction of the port. In this paper, a simulation method for the configuration based on a P-shaped process layout is proposed at ACTs. The port system is constructed as a discrete event simulation model consisting of five core modules. Then two P-shaped process layout schemes and one mixed process layout scheme are proposed and the terminal models are established, respectively. Finally, by conducting numerous simulation experiments under different layout schemes, the influence of traffic organization on the efficiency of the terminal system was analyzed. The results demonstrate that on the premise of the maturity of the mixed-traffic technology at the terminal, when the proportion of cross-berth operations is low, the system efficiency of the mixed layout scheme is the highest. This article takes a new type of P-shaped process layout as the research object, reveals the correlation between its traffic organization characteristics and system performance through a customized simulation method. It provides a new theoretical perspective and quantitative tool for the optimization of automated terminal layouts. © 2025 by the authors.</t>
  </si>
  <si>
    <t>10.3390/electronics14173356</t>
  </si>
  <si>
    <t>Electronics (Switzerland)</t>
  </si>
  <si>
    <t>Simulation Study on P-Shaped Process Layout for Automated Container Terminals</t>
  </si>
  <si>
    <t>The paper presents a methodology to construct a Discrete Event Simulation model to assess the expansion of a container terminal. The methodology was applied to the Ensenada International Terminal located in Mexico. The simulation integrates all the operations of the container terminal including the arrival of vessels, trucks, and storage of containers. The expansion plan included the addition of anew berth, and additional storage yard space. The expansion model was evaluated under different demand increments. Recommendations were provided on the level of demand that the expansion may be able to serve. As a result, the additional berth will increase the capacity, but the projected storage space will support up to a 140% increase in demand with a 20% in reserve. The terminal must consider additional storage space either in the terminal or at an external facility for additional demand greater than 140%, or for having a larger storage reserve. © The author; licensee Universidad Nacional de Colombia.</t>
  </si>
  <si>
    <t>10.15446/DYNA.V87N214.82822</t>
  </si>
  <si>
    <t>DYNA (Colombia)</t>
  </si>
  <si>
    <t>Assessment of a container terminal expansion using simulation; [Evaluación de expansión de una terminal de contenedores usando simulación]</t>
  </si>
  <si>
    <t>We develop detailed simulation models for examining how various seaside infrastructure improvement measures of a marine crude oil terminal can increase its maximum oil throughput, reduce tanker delays, and minimize the total system cost over a certain planning horizon. The models account for special navigation constraints for oil tankers, realistic tidal constraints, and practical priority rules for different tanker types at the Rizhao Shihua Oil Terminal in China. Results show that the most cost-effective measure is adding a buffer to increase the one-way channel's tanker-handling capacity. This novel, low-cost measure thus holds much promise for real-world implementation. © 2020 Elsevier Ltd</t>
  </si>
  <si>
    <t>10.1016/j.tre.2020.102051</t>
  </si>
  <si>
    <t>A simulation-based approach for assessing seaside infrastructure improvement measures for large marine crude oil terminals</t>
  </si>
  <si>
    <t>After the commissioning phase I container terminal renovation project in Luojing port area of Shanghai Port (abbreviation: phase I renovation project in Luojing), the traffic congestion at the intersection of the quay front and approach bridge has become a bottleneck restricting the improvement of wharf operational efficiency. To effectively improve this situation, a traffic organization optimization plan is proposed and its optimization effect is verified using system simulation methods. Taking the transportation within the port as the core research object, based on the wharf layout, vehicle driving rules, and traffic flow path planning, a traffic simulation model for the wharf front approach bridges of phase I renovation project in Luojing is constructed. By simulating the operation process of AIV (automated intelligent vehicle) during the peak operation period at the wharf, key indicators such as intersection delay time, quay crane efficiency and utilization rate, and AIV cycle time are statistically analyzed to conduct a quantitative comparative analysis of different traffic organization schemes. The research shows that compared with the current operational scheme of the terminal, the optimized traffic organization scheme demonstrates remarkable effectiveness in reducing traffic conflicts and enhancing the efficiency of quay cranes. Moreover, as the number of AIV deployed increases, the advantages of this optimized scheme become even more prominent, providing strong support for improving the overall operational efficiency of the terminal. © 2025 Port and Waterway Engineering - Editorial Department. All rights reserved.</t>
  </si>
  <si>
    <t>Simulation research on traffic organization of quay front and approach bridge of container terminal in Luojing; [罗泾集装箱码头前沿引桥交通组织仿真研究]</t>
  </si>
  <si>
    <t>REF_286</t>
  </si>
  <si>
    <t>In this chapter attention is focused on the container terminal optimization problem, given that today most international cargo is transported through seaports and on containerized vessels. In this context, in order to manage a container terminal it is sometimes necessary to develop a Decision Support System (DSS). This chapter investigated the prediction reliability of container terminal simulation models (DSS), through a before and after analysis, taking advantage of some significant investment made by the Salerno Container Terminal (Italy) between 2003 and 2008. In particular, disaggregate and an aggregate simulation models implemented in 2003 were validated with a large set of data acquired in 2008 after some structural and functional terminal modifications. Through this analysis it was possible to study both the mathematical details required for model application and the field of application (prediction reliability) of the different simulation approaches implemented. © 2010, IGI Global. All rights reserved.</t>
  </si>
  <si>
    <t>10.4018/978-1-61520-603-2.ch017</t>
  </si>
  <si>
    <t>Service Science and Logistics Informatics: Innovative Perspectives</t>
  </si>
  <si>
    <t>Prediction reliability of container terminal simulation models: A before and after study</t>
  </si>
  <si>
    <t>REF_285</t>
  </si>
  <si>
    <t>Container terminals are expanding and increasing by the year, due to the enormous demand on world trade and cargo exchange in the last couple of decades. Port authorities are seeking different methods to assess and analyze these expansions, without putting themselves at risk; correspondingly they resort to simulation and optimization methods to evaluate and consider future expansions and developments. In this research, a discrete-event simulation model for a modern container terminal will be developed; then the developed simulation model will be utilized to study and analyze critical optimization issues that are usually encoun-Tered in container terminals. ©2016 IEEE.</t>
  </si>
  <si>
    <t>10.1109/WSC.2016.7822386</t>
  </si>
  <si>
    <t>A modeling and simulation platform for evaluating optimization methods in container terminals</t>
  </si>
  <si>
    <t>REF_284</t>
  </si>
  <si>
    <t>With the rapid development of global trade, ports and terminals are playing an increasingly important role, and automatic guided vehicles (AGVs) have been used as the main carriers performing the loading/unloading operations in automated container terminals. In this paper, we investigate a multi-AGV dynamic scheduling problem to improve the terminal operational efficiency, considering the sophisticated complexity and uncertainty involved in the port terminal operation. We propose to model the dynamic scheduling of AGVs as a Markov decision process (MDP) with mixed decision rules. Then, we develop a novel adaptive learning algorithm based on a deep Q-network (DQN) to generate the optimal policy. The proposed algorithm is trained based on data obtained from interactions with a simulation environment that reflects the real-world operation of an automated in Shanghai, China. The simulation studies show that, compared with conventional scheduling methods using a heuristic algorithm, i.e., genetic algorithm (GA) and rule-based scheduling, terminal the proposed approach performs better in terms of effectiveness and efficiency. © 2022 by the authors.</t>
  </si>
  <si>
    <t>14th Int. Conference on Harbor, Maritime and Multimodal Logistics Modeling and Simulation, HMS 2012, Held at the International Multidisciplinary Modeling and Simulation Multiconference, I3M 2012</t>
  </si>
  <si>
    <t>Analysing the efficiency of an intermodal terminal using simulation</t>
  </si>
  <si>
    <t>REF_282</t>
  </si>
  <si>
    <t>This study discusses the landside operation and presents the application of Truck Appointment System (TAS) and lane segmentation strategy through discrete event simulation in Terminal 3 Ocean-going PT Pelabuhan Tanjung Priok. This study aims to analyze the operation planning system in Terminal 3 Ocean-going and identify problems that exist on terminal 3. This study also seeks to examine the landside operation process and offer alternative scenarios to solve the congestion problem in the terminal. Alternative scenarios provided are a combination of Truck Appointment System (TAS) and lane segmentation strategy. Truck Appointment Strategy (TAS) with 100% utilization is proved to reduce average total time in the system by 76% and reduce average total time in peak days by 88%, from 151.5 minutes to 38.4 minutes per truck. Truck Appointment System (TAS) is also proved to reduce queue length by 97%, from 162 trucks to 5 trucks. © Published under licence by IOP Publishing Ltd.</t>
  </si>
  <si>
    <t>10.1088/1757-899X/567/1/012033</t>
  </si>
  <si>
    <t>IOP Conference Series: Materials Science and Engineering</t>
  </si>
  <si>
    <t>Container terminal landside operation analysis and discrete event simulation in container terminal in port: A case study of Terminal 3 Ocean-going PT Pelabuhan Tanjung Priok</t>
  </si>
  <si>
    <t>REF_281</t>
  </si>
  <si>
    <t>Intermodal terminals (IMTs) have significant importance in logistics networks whose development enables the implementation of intermodal transportation technologies and participation in international goods flows. Developing IMT contributes to the greater use of intermodal transportation thus contributing to sustainability. To stimulate stakeholders to participate in such projects, they need to be proven economically sustainable as well. This article analyzes the financial risks of investing into an IMT in Belgrade (Republic of Serbia). The scientific contribution of the article is in being the first to use a stochastic financial evaluation model for assessing the development of an IMT. The article analyzes the financial risk probability over real-world data, considering the stochastic nature of container flow volumes and the prices of logistics services. The risk probability, as an output result of the used simulation model, is derived from the probability distribution of three distinct financial parameters – net present value (NPV), internal rate of return (IRR), and the benefit-cost ratio (B/C). The results of the analysis indicate that the development of the IMT is financially justified, with relatively low investment risk. © 2022 The Authors</t>
  </si>
  <si>
    <t>Sustainable Futures</t>
  </si>
  <si>
    <t>Container terminal capacity, as an important indicator of container terminal competitiveness, has become a primary concern of port managers, whereas container flows, which are supported by quay cranes, yard cranes, and automated guided vehicles, have a substantial influence on container terminal capacity. Container flows are analyzed in this article to estimate the performance of an automated container terminal considering traffic congestion, unbalanced task assignment, container batch arrival, and different berth and yard layouts. The operating system is formulated as a closed-queuing network with four stations. Theoretical analysis and the solution method are adopted to determine system capacity. The resource allocation and system design, specifically the number of vehicles, berth and yard layouts, and task assignment strategy, are optimized. Numerical experiments are conducted to provide management insights into port capacity planning, resource optimization, and layout design. Note to Practitioners - The construction of an automated container terminal (ACT) requires a sizable investment. Analyzing the performance of the container terminal with different configurations in the planning stage, which is before the construction of ports, is very important. Thus, planners can select better resource configurations. Generally, simulation is an intuitive way to estimate performance. However, formulating and running the simulation model with different configurations is time consuming. An analytic model for estimating the performance of an ACT is developed to reduce computational time in this article.  © 2004-2012 IEEE.</t>
  </si>
  <si>
    <t>10.1109/TASE.2021.3085329</t>
  </si>
  <si>
    <t>Performance Estimation and Design Optimization of a Congested Automated Container Terminal</t>
  </si>
  <si>
    <t>REF_279</t>
  </si>
  <si>
    <t>Maritime transportation plays a leading role in the movement and minimization of transportation costs of goods between regions. One of the major challenges faced by port managers/operators is the growing number of containers or ship traffic which can affect the port container terminal productivity. Mathematical and simulation based models for berth assignments can help to solve such logistic problems in container terminals. However, existing simulation approaches are computationally intensive for optimizing the relevant factors that may affect the berth operation or port productivity. In this study, we propose a computationally efficient approach of combining simulation with Design of Experiments (DOE) to optimize the container port productivity. Further, based on a case study of container port terminal in Malaysia, we systematically examine the effect of tug pilots, berths numbers, cranes numbers and type of queue on port container terminal productivity. We found that only berth numbers, crane numbers and type of queue had significant effect on port productivity. It is recommended to adopt low container value, first serve queuing approach for serving the ships. We could achieve a maximum productivity of around 86% through our optimization model. Further, an increase of about 22% in port productivity as compared to the existing port productivity of the terminal was observed through our method. © The Author(s) 2018.</t>
  </si>
  <si>
    <t>10.23773/2019_2</t>
  </si>
  <si>
    <t>Logistics Research</t>
  </si>
  <si>
    <t>Optimization of ship traffic at berthing areas of maritime container terminals via simulation experiment</t>
  </si>
  <si>
    <t>Due to the boom in world trade, port authorities are looking into ways of making existing facilities more efficient. One way to improve efficiency, increase capacity, and meet future demand is to use advanced technologies and automation in order to speed up terminal operations. In this paper, we design, analyze, and evaluate four different automated container terminal (ACT) concepts. These concepts include automated container terminals based on the use of automated guidance vehicles (AGVs), a linear motor conveyance system (LMCS), an overhead grid rail system (GR), and a high-rise automated storage and retrieval structure (AS/RS). We use future demand scenarios to design the characteristics of each terminal in terms of configuration, equipment and operations. A microscopic simulation model is developed and used to simulate each terminal system for the same operational scenario and evaluate its performance. A cost model is used to evaluate the cost associated with each terminal concept. Our results indicate that automation could improve the performance of conventional terminals substantially and at a much lower cost. Among the four concepts considered the one based on automated guidance vehicles is found to be the most effective in terms of performance and cost.</t>
  </si>
  <si>
    <t>10.1109/6979.994792</t>
  </si>
  <si>
    <t>Design, Simulation, and Evaluation of Automated Container Terminals</t>
  </si>
  <si>
    <t>REF_277</t>
  </si>
  <si>
    <t>3D visualization simulation is the important research method of port logistic production system, whereas the lack of uniform standard and interface of 3D simulation model, it is very difficult to share the simulation model resource, and which caused modeling repeatedly and developing efficiency lowly. Container terminal 3D simulation model repository should be considered as the key factor of solving the problems of developing low-efficiency and model no reuse of logistic system. This paper classified the model resources required by container terminal 3D simulation, explained the functions of container terminal 3D simulation model repository, and gave its framework. Finally, we discussed the key techniques to implement the container terminal 3D simulation model repository. © (2012) Trans Tech Publications, Switzerland.</t>
  </si>
  <si>
    <t>Design and implementation of container terminal 3D simulation model repository</t>
  </si>
  <si>
    <t>REF_276</t>
  </si>
  <si>
    <t>The influence of some factors (the number of berths, of tracks, of quay cranes and of container trailers) on the process of operating and throughout of a container terminal is studied by the approach of simulation optimization. A parametric simulation model is developed for producing different layout schemes. For evaluation the schemes, a multi-goal and multi-level evaluation index system and a simulation results database are established. Regarding the index score value of each scheme as the optimization goal, genetic algorithm is combined with system simulation to reach an optimum scheme.</t>
  </si>
  <si>
    <t>Simulation optimization for planning surface terminal layout in a container terminal</t>
  </si>
  <si>
    <t>REF_275</t>
  </si>
  <si>
    <t>China proposed to establish a Free Trade Area on the Zhoushan Islands, specifically planning to arrange 8 crude oil berths above 300,000 tons on 3 islands. Due to the overlap of berths and offshore time and so on, the large crude oil vessels have high requirements in management. This paper established a multi-agent model of ship traffic flow in this area, considering various factors which affect ships’ navigation, focusing on assessing the passage capacity of the water area, the service level of large crude oil berths and the navigation impact of large crude oil vessels. © 2021 by the International Society of Offshore and Polar Engineers (ISOPE).</t>
  </si>
  <si>
    <t>Proceedings of the International Offshore and Polar Engineering Conference</t>
  </si>
  <si>
    <t>Simulation-based framework for evaluating the layout of large oil terminals</t>
  </si>
  <si>
    <t>REF_274</t>
  </si>
  <si>
    <t>At container terminals, many cargo handling processes are interconnected and occur in parallel. Within short time windows, many operational decisions need to be made and should consider both time efficiency and equipment utilization. During operation, many sources of disturbance and, thus, uncertainty exist. For these reasons, perfectly coordinated processes can potentially unravel. This study analyzes simulation-based optimization, an approach that considers uncertainty by means of simulation while optimizing a given objective. The developed procedure simultaneously scales the amount of utilized equipment and adjusts the selection and tuning of operational policies. Thus, the benefits of a simulation study and an integrated optimization framework are combined in a new way. Four meta-heuristics—Tree-structured Parzen Estimator, Bayesian Optimization, Simulated Annealing, and Random Search—guide the simulation-based optimization process. Thus, this study aims to determine a favorable configuration of equipment quantity and operational policies for container terminals using a small number of experiments and, simultaneously, to empirically compare the chosen meta-heuristics including the reproducibility of the optimization runs. The results show that simulation-based optimization is suitable for identifying the amount of required equipment and well-performing policies. Among the presented scenarios, no clear ranking between meta-heuristics regarding the solution quality exists. The approximated optima suggest that pooling yard trucks and a yard block assignment that is close to the quay crane are preferable. © 2021 by the authors. Licensee MDPI, Basel, Switzerland.</t>
  </si>
  <si>
    <t>10.3390/a14020042</t>
  </si>
  <si>
    <t>Algorithms</t>
  </si>
  <si>
    <t>Integrated simulation-based optimization of operational decisions at container terminals</t>
  </si>
  <si>
    <t>Purpose: While simulation-based optimization has been discussed in theory and practically employed at container terminals, the different publications in this field have not yet been presented and compared in a structured manner. This paper gathers the latest developments and examine the similarities and differences of the provided approaches. Furthermore, research gaps are identified. Methodology: The recent literature of simulation-based optimization on container terminals is examined using a mapping review approach. Emphasis is laid on the covered problems, chosen meta-heuristics, and the shapes of the solution space. Findings: In the applied literature of container terminals genetic algorithms prevail, both for scheduling problems and for the determination of discrete and/or continuous parameters. Because of the no-free-lunch-theorem for optimization, it is open whether the chosen optimization approach serves the purpose best. Originality: To the best of our knowledge, the existing literature regarding simulation-based optimization at container terminals has never been addressed in a detailed overview. The elaborated comparison of the different publications leads to further research directions. © 2019 Proceedings of the Hamburg International Conference of Logistics. All rights reserved</t>
  </si>
  <si>
    <t>Proceedings of the Hamburg International Conference of Logistics</t>
  </si>
  <si>
    <t>Simulation-based Optimization at Container Terminals: A Literature Review</t>
  </si>
  <si>
    <t>REF_272</t>
  </si>
  <si>
    <t>In the container terminal, the container ships, berths, containers, quay cranes and container lorries form a queuing service system. In this paper, we use the operations research's queuing theory to analyze the container terminal's service process; and simultaneously use the AnyLogic-based simulation to do modeling. Through the calculation of key indicators, we analyze advantages and disadvantages of the simulation modeling in container terminal logistics application. By changing the ratio of the number of critical facilities, we come up with an effective method to enhance the utilization of port equipments. © 2010 IEEE.</t>
  </si>
  <si>
    <t>10.1109/ICISE.2010.5689971</t>
  </si>
  <si>
    <t>2nd International Conference on Information Science and Engineering, ICISE2010 - Proceedings</t>
  </si>
  <si>
    <t>AnyLogic-based simulation analysis of queuing system at container terminals</t>
  </si>
  <si>
    <t>REF_271</t>
  </si>
  <si>
    <t>A simulation-based approach for resource management and control: A real case study of a spanish container terminal</t>
  </si>
  <si>
    <t>REF_270</t>
  </si>
  <si>
    <t>A new class of Intelligent and Autonomous Vehicles (IAVs) has been designed in the framework of Intelligent Transportation for Dynamic Environment (InTraDE) project funded by European Union. This type of vehicles is technologically superior to the existing Automated Guided Vehicles (AGVs), in many respects. They offer more flexibility and intelligence in maneuvering within confined spaces where the logistic operations take place. This includes the ability of pairing/unpairing enabling a pair of 1-TEU (20-foot Equivalent Unit) IAVs dynamically to join, transport containers of any size between 1-TEU and 1-FFE (40-foot Equivalent) and disjoin again. Deploying IAVs helps port operators to remain efficient in coping with the ever increasing volume of container traffic at ports and eliminate the need for deploying more 40-ft transporters in the very confined area of ports. In order to accommodate this new feature of IAVs, we review and extend one of the existing mixed integer programming models of AGV scheduling in order to minimize the makespan of operations for transporting a set of containers of different sizes between quay cranes and yard cranes. In particular, we study the case of Dublin Ferryport Terminal. In order to deal with the complexity of the scheduling model, we develop a Lagrangian relaxation-based decomposition approach equipped with a variable fixing procedure and a primal heuristics to obtain high-quality solution of instances of the problem. © 2013 Elsevier Ltd.</t>
  </si>
  <si>
    <t>10.1016/j.trc.2013.04.006</t>
  </si>
  <si>
    <t>Transportation Research Part C: Emerging Technologies</t>
  </si>
  <si>
    <t>Scheduling of Intelligent and Autonomous Vehicles under pairing/unpairing collaboration strategy in container terminals</t>
  </si>
  <si>
    <t>REF_269</t>
  </si>
  <si>
    <t>With the current growth of the maritime industry, which is a key element for many supply chains worldwide, ports seek to increase their capacity and performance in order to tackle challenges and opportunities created by the increased demand in the industry. Port expansion is an efficient way to meet this objective, but requires important resources and careful planning. Before undertaking such a major project, it is important for a port to have a firm grasp and understanding of its current capacity as well as the expansion’s requirements and limitations in light of its traffic forecasts. This article presents the data analysis realized as part of an expansion project of a Canadian port case. The data analysis is executed in order to feed the first simulation model of its kind in this sector that will jointly consider the logistics operations taking place in the current port and its new terminal. This article addresses the first steps of the model’s conception through data analysis as well as solutions to problems encountered. As the study is underway, the preliminary results of the work are presented. © 2021, IFIP International Federation for Information Processing.</t>
  </si>
  <si>
    <t>IFIP Advances in Information and Communication Technology</t>
  </si>
  <si>
    <t>REF_268</t>
  </si>
  <si>
    <t>Most of the existing contributions for container terminal analysis follow approaches based on optimization models, that are mainly useful to support strategic decisions about terminal container configuration. Many others contributions follow the simulation approach, which allows a detailed analysis but may lead to computational problems and is rather computer demanding, especially when resulting models are used to support optimization. This paper investigated the prediction reliability of two different approaches to container terminal simulation: microscopic and macroscopic. The former simulating single container movement, the latter simulating container flows movement. The microscopic model was a discrete event simulation model, the macroscopic model was a dynamic discrete time based (space-time) network assignment model. Both modelling approaches were implemented and compared taking advantage of some significant investment made by the Salerno Container Terminal (Italy) between 2005 and 2011. In particular, disaggregate (microscopic) and an aggregate (macroscopic) simulation models implemented in 2005 were validated with a large set of data acquired in 2011 after some structural and functional terminal modifications. Through this analysis it was possible to analyze the prediction reliability of both simulation approaches and to draw some operational guidelines. © 2013 IEEE.</t>
  </si>
  <si>
    <t>Proceedings - 8th EUROSIM Congress on Modelling and Simulation, EUROSIM 2013</t>
  </si>
  <si>
    <t>Simulating container terminal performances: Microscopic vs. macroscopic modelling approaches</t>
  </si>
  <si>
    <t>REF_267</t>
  </si>
  <si>
    <t>In a container terminal planning stage, a design value of annual throughput capacity usually can be got according to the formula to calculate. Design and the actual gap of throughput capacity is large, due to the instability and imbalance of the time, the size, the deadweight, the loading and unloading volume of vessels to the port and so on. Taking a container terminal as an example, a handling system macro simulation model of container terminal is established by using computer simulation software FlexSim. Considering the influence of berthing annual capacity and yard storage capacity for the annual throughput capacity of a whole container terminal, its evaluation indexes are displayed. Based on the analysis of the simulation data of the terminal, the evaluation value of annual throughput capacity of the container terminal is 2.6 million TEU. The reasonable assessment of container terminal's annual capacity can provide a scientific basis for terminal management decision-making and improve the service level of the terminal. © 2024 Port and Waterway Engineering - Editorial Department. All rights reserved.</t>
  </si>
  <si>
    <t>Simulation and evaluation indexes of annual throughput capacity of container terminal; [集装箱码头年通过能力仿真及其评价指标]</t>
  </si>
  <si>
    <t>REF_266</t>
  </si>
  <si>
    <t>For logistic chains that have a maritime component, the ports transition involves a set of specific operations inside maritime container terminals. This can be cargo handling operations from the terrestrial vehicle in the storage area of ports, from port storage area in the maritime ships, as well as storage operations in the port area and other container terminal activities. Taking into consideration the multi-flow interactions and the non-uniform arrival of vessels and in-land vehicles, discrete event simulation stands as a feasible technique for investigating berthing capacity during the initial planning stage of the terminal or for operative planning of logistic processes at the terminal. If the storage area is analysed as a queuing system, the quality serving attributes could be evaluate. When different distributions for arrival flows of the containers in the maritime container terminal are taken into consideration, the quality serving attributes are difficult to estimate. In our paper, a discrete simulation model is developed in ARENA software for case of a maritime container terminal. The estimation of the general measures of performance for the container port terminals through simulation could provide data for the implementation in the management plans by port administrations. © 2018 Silesian University of Technology. All Rights Reserved.</t>
  </si>
  <si>
    <t>10.20858/tp.2018.13.4.5</t>
  </si>
  <si>
    <t>Transport Problems</t>
  </si>
  <si>
    <t>Simulation model for maritime container terminal</t>
  </si>
  <si>
    <t>REF_265</t>
  </si>
  <si>
    <t>Using a multi-agent system, representing the nodes in the network of the Austrian inland container terminals, and using system dynamics to depict the terminals' internal structures and processes in an aggregate manner, we perform network flow analyses of intermodal load units in case of unforeseen disturbances. Comprehensive case studies of disturbances and irregularities in the flow of goods in Austrian container transport chains and transport systems are the basis of the definition of several risk scenarios, and are used in order to investigate the robustness of the network.</t>
  </si>
  <si>
    <t>International Conference on Harbor, Maritime and Multimodal Logistics Modeling and Simulation, HMS 2009, Held at the International Mediterranean and Latin American Modeling Multiconference, I3M 2009</t>
  </si>
  <si>
    <t>Multi-agent simulation for analysing inland container terminal networks</t>
  </si>
  <si>
    <t>REF_264</t>
  </si>
  <si>
    <t>Road intersections of container terminal yard often become traffic bottlenecks. It is more likely to find out problems of the road planning using simulation to study the traffic condition of road intersections. To assist its road planning of a large container terminal yard in China, a holistic simulation model was created and the traffic capacity of a road intersection was computed. The processes of the simulation model were discussed. Through the simulation experiments, the peak traffic flow data of the intersection were obtained. Comparing the data with the intersection capacity, it was found that the original uncontrolled intersection design could not meet the traffic requirements. Some recommendations including using intelligent actuated signal control intersection were proposed and validated in the end.</t>
  </si>
  <si>
    <t>Research on road intersection simulation of container terminal yard</t>
  </si>
  <si>
    <t>REF_263</t>
  </si>
  <si>
    <t>One of the most important objectives of operations optimization in container terminal is to reduce the reshuffle ratio, whose important way is reshuffle optimization during picking up import containers. Based on analyzing the actual reshuffles of import containers in container yard, a simulation model of reshuffle process is proposed with Petri-net. Using simulation, the paper analyzes the correlation probability of reshuffles and its factors. Then a relocation probability estimate method is suggested with the main influencing factors. A total least-reshuffle-estimate rule based heuristic algorithm for reshuffle optimization of import containers. Simulation experiments results show that the accuracy of proposed algorithm can be 15% times more than OH and IH algorithm while solving larger-scale problems.</t>
  </si>
  <si>
    <t>Xitong Gongcheng Lilun yu Shijian/System Engineering Theory and Practice</t>
  </si>
  <si>
    <t>Simulation analysis and heuristic algorithm for reshuffle optimization of import containers in container terminal</t>
  </si>
  <si>
    <t>REF_262</t>
  </si>
  <si>
    <t>This study aims to analyze and predict the arrival time and influencing factors of container transportation in container yards using simulation interactive modeling technology. The data from the control center of the yard is used to establish a model and perform the driving analysis of the transfer data of container terminals. The economic benefit index is determined by expert consultation and the actual operating parameters of the automated terminal. The feasibility of the evaluation model is verified by an automated container terminal simulation model. The study fills the gaps in the literature on container arrival time and provides a useful tool for improving the efficiency of container transportation.  © 2023 ACM.</t>
  </si>
  <si>
    <t>10.1145/3608251.3608254</t>
  </si>
  <si>
    <t>Prediction and Analysis of Container Terminal Logistics Transportation Time Based on Simulation Interactive Modeling: A Case Study of Ningbo Port: Simulation Modeling of Container Terminal Logistics Time: Ningbo Port Case</t>
  </si>
  <si>
    <t>REF_261</t>
  </si>
  <si>
    <t>With the rapid development of China's container terminals, how to make full use of the resources of container terminals through vaious management and technical means to increase the revenue of container terminals has become a subject that needs to be studied in the scale expansion and production management of container terminals. The location of distribution center plays an important strategic role in the planning and design of distribution center. To some extent, the location of distribution center affects the success or failure of distribution center operation. Container terminal is a complex dynamic system of discrete events, which has the characteristics of dynamics, randomness and asynchrony. According to the characteristics of terminal operation, the discrete event simulation theory is adopted, the simulation model is established based on the logistics operation process of container terminal, and the event-oriented simulation method is adopted to simulate the road traffic system of Tianjin Port container terminal based on simulation software. On the basis of the formal description of discrete event system (DEVS), the DEVS model of the container terminal handling system is constructed, and its simulation model is established in the eM Plant software. Taking a port as the application background, the correctness and effectiveness of the simulation model are verified. © 2022 IEEE.</t>
  </si>
  <si>
    <t>Proceedings - 2022 International Conference on Industrial IoT, Big Data and Supply Chain, IIoTBDSC 2022</t>
  </si>
  <si>
    <t>REF_260</t>
  </si>
  <si>
    <t>The choice to use horizontal handling transport in automated container terminals is not fully consistent in comparison with the automation of stacking cranes at the storage yard. Often the decision of whether to use an automated system between the berth and the yard area is not clear, and terminal operators tend not to use automated systems. The goal of this paper is to provide an economic analysis to determine under which conditions automated horizontal transport is more efficient than a semiautomated system. The study provided several simulation models to calculate the optimal equipment necessary to connect storage and berth subsystems in a maritime container terminal in fully automated and semiautomated scenarios. Data from the semiautomated container terminal at the Port of Barcelona, Spain, were used. In addition to the cost analysis, guidelines on the best alternative, considering labor costs, throughput movements per quay crane and year, and quay crane productivity are provided.</t>
  </si>
  <si>
    <t>10.3141/2409-06</t>
  </si>
  <si>
    <t>Comparing manned and automated horizontal handling equipment at container terminals</t>
  </si>
  <si>
    <t>REF_259</t>
  </si>
  <si>
    <t>With rapid expansion of international trade, one distinctive feature of the current port industry is that competition is more intensive than previously. By virtue of information technology enhancement, many efforts to raise port competitiveness through an advanced operation system are actively being made, and judging from the viewpoint of investment effect, these efforts are more preferable than infrastructure expansion and additional equipment acquisition. Based on simulation, this study has tried to prove that RFID-based real-time location system (RTLS) data collection and dynamic operation of transfer equipment brings a positive effect on the productivity improvement and resource utilization enhancement. Moreover, this study on the demand for the real-time data for port operation have been made, and operation processes have been redesigned along with the collection of related data, and based on them, simulations have been conducted. As a result of them, much higher productivity improvement could be expected. © Springer-Verlag Berlin Heidelberg 2013.</t>
  </si>
  <si>
    <t>LISS 2012 - Proceedings of 2nd International Conference on Logistics, Informatics and Service Science</t>
  </si>
  <si>
    <t>A simulation model for container terminal dynamic operation system using real-time positioning approach</t>
  </si>
  <si>
    <t>REF_258</t>
  </si>
  <si>
    <t>The paper deals with the problem of minimizing reshuffling of containers in an inland intermodal terminal. The problem is tackled according to a simulation-optimization approach. A simulation model computes the operational costs of containers, related to storage and pick-up operations in an inland yard. The optimization is carried out by a double genetic algorithm that applies two genetic algorithms in series. The first optimizes the locations of the containers to store in the yard and identifies the blocking containers that have to be reshuffled. The second genetic algorithm takes the solution of the first and optimizes the reshuffling of blocking containers together with the unloaded ones. The proposed optimization method has been tested on a theoretical example of a realistic size. Results highlighted that the double genetic algorithm reduces the total operational costs by 5% with respect to the single genetic algorithm. © 2019, Gioacchino Onorati Editore. All rights reserved.</t>
  </si>
  <si>
    <t>10.4399/97888255317948</t>
  </si>
  <si>
    <t>Advances in Transportation Studies</t>
  </si>
  <si>
    <t>Optimization and simulation approach of containers handling operations at intermodal terminals</t>
  </si>
  <si>
    <t>REF_257</t>
  </si>
  <si>
    <t>Global ocean-based trade has been increasing significantly. To keep pace with this growth, a new generation of large vessels has been introduced to maximize shipping productivity. The primary goal of container terminals is to accelerate vessel turnaround time through effective coordination of the main handling components. This study proposes an efficient strategy to handle containers by employing double-cycling to minimize the number of empty travel trips of yard trucks. To verify the efficiency of the proposed strategy, two simulation models were developed and implemented based on a real-life case study considering uncertainties in the work task duration. The integrated single-cycling model predicted productivity with an accuracy rate of over 97%, compared with the actual site productivity. When compared to the standard single-cycling model, the double-cycling model enhanced productivity and reduced vessel turnaround time by up to 62% and 38%, respectively, and achieved cost savings of up to 27%. © 2021 Elsevier Ltd</t>
  </si>
  <si>
    <t>10.1016/j.cie.2021.107118</t>
  </si>
  <si>
    <t>Synchronized scheduling model for container terminals using simulated double-cycling strategy</t>
  </si>
  <si>
    <t>Potentially powerful pipe flow models of container terminal logistics processes have been neglected to date. Despite phenomenal recent growth in container traffic in Egypt, modelling of terminals handling this traffic has remained rare. A case application in Alexandria, Egypt, collated empirical container and information flows using interviews and company records to develop a dynamic operational perspective. Using these data, operational-level model simulation of the entire logistical processes of both import and export flows was undertaken. Following successful validation of a base simulation model, scenario testing has empowered the case company to proactively design and test the impact of operational changes on the entire logistics process. © 2014, © 2014 Taylor &amp; Francis.</t>
  </si>
  <si>
    <t>REF_255</t>
  </si>
  <si>
    <t>Booming in the world trade, scarcity of land for yard expansion in many ports, and deployment of new massive megaships have magnified the need for finding better ways of performing container terminal operations. High-density Automated Container Terminals (ACTs), with high operation efficiency and requiring less hand, can thus become potential candidates for meeting future demand for higher capacity. In this paper, several high-density ACT systems are proposed and designed to meet the future projection made by several ports. A microscopic simulation model is developed and used to simulate the different ACT systems for the same operational scenario. The performance results and characteristics of the ACT systems are used as inputs to a cost model in order to compare their cost for meeting the demand for high capacity. The simulation results show that the proposed ACT systems can meet the future capacity demand of ports by requiring less land and at lower cost depending on various factors, such as the cost of land, labor etc that are described and analyzed. The implementation of the proposed automated concepts will require additional studies where labor issues and concerns about job losses due to automation need to be addressed.</t>
  </si>
  <si>
    <t>IEEE Conference on Intelligent Transportation Systems, Proceedings, ITSC</t>
  </si>
  <si>
    <t>A simulation approach for performance evaluation of proposed automated container terminals</t>
  </si>
  <si>
    <t>REF_254</t>
  </si>
  <si>
    <t>Simulation based analysis is particularly useful for designing new container terminals and evaluating the benefits of new resources or impacts of operation policies and modifications. We present a computer simulation model that integrates all the activities of a container terminal and captures the essential interactions among the subsystems which affect terminal capacity. The system incorporates methods to generate realistic vessel arrival patterns and can track the moves of millions of containers in a terminal. We further present case studies of the handling capacities of three container terminals in the Southeast Asia region, the issues involved, our approach and the findings. Copyright © 2008 Inderscience Enterprises Ltd.</t>
  </si>
  <si>
    <t>10.1504/IJCAT.2008.021379</t>
  </si>
  <si>
    <t>International Journal of Computer Applications in Technology</t>
  </si>
  <si>
    <t>Capacity analysis of container terminals using simulation techniques</t>
  </si>
  <si>
    <t>REF_253</t>
  </si>
  <si>
    <t>This article presents a simulation based approach to provide a short-term energy demand load curve forecast in a container terminal. While common methods for forecasting electricity consumption are working well in industrial enterprises with continuous and recurrent production cycles, in a container terminal the processes are highly dynamical. That is why the most common methods are not working well, and a simulation based approach is chosen. If the energy consumption can be forecasted precisely it is possible to benefit from cheaper energy purchase prices. If the container terminal uses battery powered vehicles additional strategies to use the forecast can be employed. One possibility is to reduce the costs by using intelligent strategies for charging the batteries in a battery-exchange station where the energy consumption can be forecasted as well. The important fact is that with the exchange station the load curve can be influenced without interfering in the logistic processes of the terminal because the energy consumption of the transport vessels is decoupled from the logistic processes by the use of batteries. This is why methods like load shifting and peak clipping can be applied quite easily. First, a simulation based approach is introduced to calculate a reliable load forecast of the entire terminal and of the battery changing station. Second, several use cases are presented for how the terminal benefits from this forecast. © 2014 IEEE.</t>
  </si>
  <si>
    <t>10.1109/IJCNN.2014.6889838</t>
  </si>
  <si>
    <t>Proceedings of the International Joint Conference on Neural Networks</t>
  </si>
  <si>
    <t>A simulation based approach to forecast a demand load curve for a container terminal using battery powered vehicles</t>
  </si>
  <si>
    <t>REF_252</t>
  </si>
  <si>
    <t>With rapid technological changes and globalized supply chains, intelligent and adaptable logistics systems are crucial, particularly at seaports. Container terminals face increasing volumes and demands, leading to potential truck congestion and long queues. Automation offers a solution by optimizing port performance and adapting to dynamic conditions, though port digitalization is complex due to diverse stakeholders and information flows. This work is part of the digital transformation of the Port of Sines - Portugal, specifically in the Smart Gate concept context. For this purpose, the Port of Sines Administration, together with other partners, has established the prerequisite of a pre-gate, which is currently being analysed from the point of view of its processes, the technologies to be included and the information models to be supported. This work aims to dynamically analyse the pre-gate model by testing different scenarios to propose improvements to the inherent processes using simulation. The study culminated in a discrete-event simulation model with Anylogic software to predict pre-gate behaviour and foresee potential issues. By testing various scenarios and evaluating their effects on key performance indicators, this model supports the continuous improvement of pre-gate processes.  © 2024 The Authors. Published by Elsevier B.V.</t>
  </si>
  <si>
    <t>10.1016/j.procs.2025.01.301</t>
  </si>
  <si>
    <t>Procedia Computer Science</t>
  </si>
  <si>
    <t>Simulation to predict the behaviour of a new seaport gate: An application in the Sines container terminal</t>
  </si>
  <si>
    <t>REF_251</t>
  </si>
  <si>
    <t>The berthing schedule significantly affects the number of ships that can berth at a container terminal within a given timeframe. Inefficient scheduling can lead to the underutilization of berthing slots, thereby impacting the terminal's overall productivity. This research aims to analyse the effect of different berthing schedules on ship calls and production capacity at a container terminal. The study compares several scheduling scenarios, considering parameters such as vessel dimensions, loading and unloading equipment, and berth length. The simulation results demonstrate that optimized window berthing and scheduling can minimize idle time between vessel arrivals, allowing for more ship calls. Effective window berthing scheduling requires careful preparation and continuous monitoring, including coordination with ship-owners, cargo owners, and service providers such as pilots and tug operators, as well as other stakeholders involved in berthing activities at the terminal. Berthing optimization schedules at container terminals by minimizing idle time between vessel arrivals and reducing waiting times, has potential impacts on environmental sustainability, such as decreasing fuel consumption for ships and port equipment and leading to lower greenhouse gas emissions and air pollutants. This research was simulated using a discrete event simulation approach through Vensim software. © Published under licence by IOP Publishing Ltd.</t>
  </si>
  <si>
    <t>10.1088/1755-1315/1473/1/012018</t>
  </si>
  <si>
    <t>IOP Conference Series: Earth and Environmental Science</t>
  </si>
  <si>
    <t>Factors Influencing Ship Berthing Scheduling for Enhancing Container Terminal Productivity in Sustainable Operations</t>
  </si>
  <si>
    <t>REF_250</t>
  </si>
  <si>
    <t>Following the advent of megaships, the performance requirements of container terminals have increased significantly, highlighting necessary changes in their layout, infrastructure, and equipment. We focus on the impact of megaships on a terminal within the port network of the Italian Region of Liguria, in terms of its ability to manage the flow of imports from arrival to inland destinations. We use discrete event simulation techniques to analyze the operations of a terminal and evaluate the relevant performance indices in different scenarios, which vary as a function of the “call size” of the larger containerships. The possibility of guaranteeing a more balanced modal split (favoring rail transport) for the inland distribution of containers is also evaluated. Dwell times at the yard and turnaround times at the berth are considered, with the objective of achieving a modal split of inland transport consisting of no less than 40% rail. Our results show that this objective can be achieved if a higher dwell time for outgoing containers is allowed. © 2019, Springer Nature Limited.</t>
  </si>
  <si>
    <t>10.1057/s41278-019-00120-y</t>
  </si>
  <si>
    <t>Impact of megaships on the performance of port container terminals</t>
  </si>
  <si>
    <t>REF_249</t>
  </si>
  <si>
    <t>With the advancement of autonomous driving technologies, automated container terminals (ACTs) are transitioning toward mixed-traffic operations involving unmanned internal container trucks (ITs) and manned external container trucks (ETs). However, the complex interactions in mixed traffic present frequent conflicts and challenges for system performance evaluation. To address this, this study focuses on mixed-traffic ACTs and establishes a comprehensive performance evaluation model based on multi-agent simulation. First, three lane configurations are defined, including segregated unidirectional, mixed unidirectional, and mixed bidirectional. Then, a path interaction point (PIP) modeling method is proposed under traffic conflicts to characterize lane-level motion behaviors and conflict relationships represented by a conflict matrix, based on which an IT access strategy is developed. Second, a multi-level performance evaluation model for ITs is established, and a 3D multi-agent simulation model is developed to support performance evaluation under different lane configurations. Finally, the three lane configurations are evaluated through simulation at both individual and system levels under a baseline scenario, followed by a sensitivity analysis across varying IT–ET task ratios to assess adaptability. Simulation results indicate that the mixed bidirectional lane configuration achieves superior overall performance and robustness. © 2026 by the authors.</t>
  </si>
  <si>
    <t>10.3390/jmse14050439</t>
  </si>
  <si>
    <t>Mixed-Traffic Performance Evaluation of Lane Configurations for Trucks at Automated Container Terminals Under Traffic Conflicts</t>
  </si>
  <si>
    <t>REF_248</t>
  </si>
  <si>
    <t>This paper presents the project team's recent experience in providing planning and simulation services for a large-scale container terminal consolidation project that included a smart port initiative aimed to increase capacity and productivity, optimize resource usage, and reduce traffic congestion. A signature planning approach was applied to first clearly define the business case and, from there, to develop a balanced layout to match throughput capacity for the berth, yard, gate, and intermodal through careful planning and analysis, and, finally, to reconfigure the gate and the roads to achieve a smooth traffic flow. Dynamic simulation models were developed to analyze and evaluate terminal capacity, performance, and equipment needs for the consolidated terminals. Phase I construction of the project was completed in 2019 according to the developed plan, and the resulting consolidated terminal operation reflected improved terminal efficiency and a smoother traffic flow at terminal gates and circulation roads.  © ASCE.</t>
  </si>
  <si>
    <t>10.1061/9780784484401.090</t>
  </si>
  <si>
    <t>Ports 2022: Port Engineering - Papers from Sessions of the 16th Triennial International Conference</t>
  </si>
  <si>
    <t>Planning and Simulation of Large-Scale Container Terminal Consolidation for Smart Port Initiatives</t>
  </si>
  <si>
    <t>REF_247</t>
  </si>
  <si>
    <t>The freight logistics includes all the processes which are needed to supply industry, retail and wholesale and the end customers with goods. Such processes generate a flow of goods that, in the global supply chain, mainly relies on the activities carried out within worldwide container terminals. In this paper, the authors present a simulation model of a real container terminal. The simulation model is jointly used with optimization techniques (genetic algorithms) to carry out a range allocation optimization on berth assignment to incoming ships and number of tractors for each quay crane with the aim of minimizing the average time spent by each ship in the port area (decreasing, as consequence, costs and increasing service level provided to final customers).</t>
  </si>
  <si>
    <t>REF_246</t>
  </si>
  <si>
    <t>A solution to the problems of resource allocation and scheduling of loading and unloading operations in a container terminal is presented. The two problems are formulated and solved hierarchically. First, the solution of the resource allocation problem returns, over a number of work shifts, a set of quay cranes used to load and unload containers from the moored ships and the set of yard cranes to store those containers on the yard. Then, a scheduling problem is formulated to compute the loading and unloading lists of containers for each allocated crane. The feasibility of the solution is verified against a detailed, discrete-event based, simulation model of the terminal. The simulation results show that the optimized resource allocation, which reduces the costs by 1/3, can be effectively adopted in combination with the optimized loading and unloading list. Moreover, the simulation shows that the optimized lists reduce the number of crane conflicts on the yard and the average length of the truck queues in the terminal.</t>
  </si>
  <si>
    <t>Journal of Intelligent Manufacturing</t>
  </si>
  <si>
    <t>REF_245</t>
  </si>
  <si>
    <t>REF_244</t>
  </si>
  <si>
    <t>Resources to minimize disruption caused by increased security inspection of containers at an intermodal terminal: Application of simulation</t>
  </si>
  <si>
    <t>REF_243</t>
  </si>
  <si>
    <t>In this paper we show the SimConT approach in símulation of Binnenland Container Terminals (BCT). SimConT was used during the last years in several projects on capacity evaluation of BCT. During these works we collected some experiences on how to carry out simulation studies for BCT. Especially, main important steps are data collection of infrastructure, train related and load carrier data. Secondly, the detailed operation of the yard and finally during the analysis phase to adapt the study steps to the marginal productivity rate of the BCT. We will provide a guideline for conducting the simulation studies and connect it to the theoretical architecture of the SimConT simulation model(s). The guidelines also focus on how scenarios for the up following simulation runs are constructed in order to reach the marginal rates of the yard. During the works we were also able to identify relevant key data and indicators reflecting the BCT's performance. These indicators may be used for comparing the performance of different sites.</t>
  </si>
  <si>
    <t>REF_242</t>
  </si>
  <si>
    <t>A discussion the Futtsu Thermal Power Station, one of the most representative power stations using LNG run by Tokyo Electric, covers the positioning of the LNG terminal at the Futtsu Thermal Power Station; features of the Futtsu Thermal Power Station; overview of additional construction of the Futtsu LNG terminal; and measures to build LNG facilities, including facility construction and cost reduction and adoption of new construction techniques.</t>
  </si>
  <si>
    <t>French</t>
  </si>
  <si>
    <t>IGT International Liquefied Natural Gas Conference Proceedings</t>
  </si>
  <si>
    <t>Function of Tepco's Futtsu LNG terminal and plans to ensure its reliability (LNG terminal producing about 10,000 MW); [Fonctions du terminal de gaz naturel liquefie (GNL) Futtsu de Tepco et les plans destines a assurer la fiabilite des installations (terminal GNL d'une capacite de production d'environ 10.000 MW)]</t>
  </si>
  <si>
    <t>REF_241</t>
  </si>
  <si>
    <t>To analyze the effect of container twist lock station layout technology on the handling operation efficiency in automated container terminal using single trolley quay cranes, three terminal simulation models with different twist lock station layout technology are established by FlexSim software.The working efficiency of terminal handling equipment, the average distance per cycle and speed of horizontal transportation equipment in different models are compared by simulation tests.Simulation results show that the handling operation efficiency of the twist lock station parallel layout process plan is increased by 1% to 13% compared to the single trolley quay crane with twist lock handling platform process plan.The handling operation efficiency of the twist lock station vertical layout process plan is increased by 12% to 14% compared to the twist lock station parallel layout process plan.The simulation results can provide theoretical support for the design of automated container terminals or the upgrading and renovation of traditional container terminals. © 2024 Port and Waterway Engineering - Editorial Department. All rights reserved.</t>
  </si>
  <si>
    <t>Simulation of layout technology of twist lock station with single trolley quay cranes in automated container terminal; [自动化码头单小车岸桥锁销站布置工艺仿真研究]</t>
  </si>
  <si>
    <t>REF_240</t>
  </si>
  <si>
    <t>The paper presents the approach of developing simulation models of stevedoring work in oil terminal using aggregate approach and simulation system ARENA. Aggregate approach permits to develop formal specification of simulated systems. Aggregate specification of the system is presented as a set of interacting piece-linear aggregates. Controlling sequences are used for formal description of each piece-linear aggregate. Transformation of aggregate formal specification to ARENA system operators permits to develop a simulation model. The developed model permits to evaluate characteristics of the Klaipeda oil terminal which are used both in queuing theory and analysing timing properties of real-time systems. © 2002 Taylor &amp; Francis Group, LLC. All rights reserved.</t>
  </si>
  <si>
    <t>10.1080/16483840.2002.10414041</t>
  </si>
  <si>
    <t>Transport</t>
  </si>
  <si>
    <t>Simulation of stevedoring work in the Klaipeda oil terminal</t>
  </si>
  <si>
    <t>REF_239</t>
  </si>
  <si>
    <t>To provide better services for shipping companies and to increase profits, improving the operation equipment efficiency and reducing the ship dwelling time at the terminal is an important problem for port companies. Port management information system and information technology is widely used for supporting and controlling the terminal operation, which can track the operation data simultaneously. In this study, a simulation model is constructed using historical Global Positioning System tracking data and analyzed for application to the shipping industry. For improving handling equipment efficiency, flexibility analysis is performed for the trailers that served gantry cranes for ship operation (container loading and unloading processes) by comparing the different dispatching scenarios after performing the simulation. The proposed procedure to construct simulation models of container terminal was found to be both practical and powerful. © 2014 IEEE.</t>
  </si>
  <si>
    <t>10.1109/WSC.2014.7020025</t>
  </si>
  <si>
    <t>Simulation-based flexibility analysis of vehicle dispatching problem on a container terminal with GPS tracking data</t>
  </si>
  <si>
    <t>REF_238</t>
  </si>
  <si>
    <t>The phenomenon of the digital revolution is indisputable and affects all areas and sectors of activity. Seaports, which also handle 90% of goods transported worldwide and are essential links in international logistics chains, are no exception to this revolution. Indeed, and in recent years, ports have experienced a real transformation in the management of their operations. The challenge today lies in the dematerialisation of port procedures and their digitisation by relying on innovative tools. This research focuses on a little-studied subject; damage caused to containers and the management of their claims through the dematerialisation of related procedures. The objective is to understand what are the contributions of digitalisation to the management of claims for damaged containers within the container terminal. The results show that the digitisation of complaints management within the port brings several advantages to the various stakeholders involved in the port chain. However, digitisation poses new challenges, related to information security and the interoperability of information systems. © 2022 KEDGE Business School.</t>
  </si>
  <si>
    <t>10.1080/12507970.2022.2134829</t>
  </si>
  <si>
    <t>Logistique et Management</t>
  </si>
  <si>
    <t>Management of claims for damaged containers in a container terminal: what contributions of digitisation?; [La gestion des réclamations des conteneurs endommagés dans un terminal à conteneurs : quels apports de la digitalisation ?]</t>
  </si>
  <si>
    <t>REF_237</t>
  </si>
  <si>
    <t>The emission calculation method based on actual energy data and mathematical analytical models have the disadvantages of time-consuming and high cost, and therefore it is necessary to study a system simulation-based method for calculating the emissions of container terminal production operation systems. This paper develops a simulation model of container terminal production operation systems based on the Arena simulation platform. Emission calculation formulas are embedded into the simulation model, which can calculate and output the energy consumption and emissions of ships and handling equipment. To validate the system simulation-based emission calculation method, a container terminal is taken as the research object and a series of simulation experiments are conducted. The main results show that (1) NOx is the main air pollutant and the CO2 and NOx emissions mainly come from ships, which are 90.7% and 80.4%, respectively, and (2) CO2 and NOx emissions during navigation of ships in the waterway are the main part of ship emissions and account for 60.7% and 53.9%, respectively.  © Published under licence by IOP Publishing Ltd.</t>
  </si>
  <si>
    <t>10.1088/1755-1315/638/1/012028</t>
  </si>
  <si>
    <t>Simulation-based emission calculation method for container terminal production operation system</t>
  </si>
  <si>
    <t>REF_236</t>
  </si>
  <si>
    <t>Twin overhead shuttle cranes (OSs) transport containers in a rail-based automated container terminal (RACT). Terminal operators separate a job into a main job and an auxiliary job based on a temporary storage location. Since the temporary storage location determines the frequency of the job separations and the workload of each OS, they use simulation-based decision-making to investigate the impact of the interference between the twin OSs. It is time-intensive to optimize an objective function with manually designed experiments, so this study proposes a sequential optimization approach, Bayesian optimization (BO), to determine the optimal temporary storage location within a limited simulation run. The BO adaptively draws the surrogate model of simulation outcomes and actively suggests the most promising solution comparing the current optimal solution. An experiment demonstrates that the BO predicts the outcomes of a RACT simulation and ensures a near-optimal solution within a limited simulation run. © 2022, IFIP International Federation for Information Processing.</t>
  </si>
  <si>
    <t>REF_235</t>
  </si>
  <si>
    <t>The management of an intermodal terminal, such as Ro-Ro terminals is a complex process that involves several critical decisions. Decision makers should organise operations perfectly in order to prevent bottlenecks and achieve the highest performance. So, predicting and solving possible problems in all processes of a Ro-Ro terminal is vital. At this point simulation modelling is a very useful and common method in analysing port terminal operations because, there are several interacting processes. But there are many simulation programs enable to model terminal operations. However, in which level are simulation software programs reliable in comparison with each other? Can there be significant difference in results of same event modelled by different simulation programs? In this paper comparison of two discrete event simulation modelling software programs, such as Arena and AnyLogic is aimed. Operations of a Ro-Ro terminal are modelled with Arena and AnyLogic independently and results are compared. Copyright © 2016 Inderscience Enterprises Ltd.</t>
  </si>
  <si>
    <t>10.1504/IJLSM.2016.076890</t>
  </si>
  <si>
    <t>Comparing model development in discrete event simulation on Ro-Ro terminal example</t>
  </si>
  <si>
    <t>REF_234</t>
  </si>
  <si>
    <t>The container terminal is a key node in global trade and logistics, where trucks connect quay cranes, storage yards, and vessels. Optimizing truck scheduling is crucial for enhancing port efficiency by addressing issues such as low truck utilization, excessive quay crane waiting times, and extended equipment completion times. This paper develops a container terminal simulation model based on graph theory, with the objective of minimizing the maximum completion time of terminal equipment. A collaborative scheduling algorithm for truck fleets, based on Deep Double Q-Networks (DDQN), is proposed. The algorithm designs five heuristic rules as the action space and refines state features and reward functions to optimize scheduling effectively. Experimental results indicate that this algorithm consistently identifies optimal scheduling strategies, outperforming both the five heuristic rules and the Deep Q-Network (DQN) algorithm. It significantly reduces quay crane waiting times and equipment completion times, improves truck utilization, and enhances overall container terminal efficiency. © The Author(s) 2025.</t>
  </si>
  <si>
    <t>10.1038/s41598-025-91140-7</t>
  </si>
  <si>
    <t>Scientific Reports</t>
  </si>
  <si>
    <t>Collaborative optimization of truck scheduling in container terminals using graph theory and DDQN</t>
  </si>
  <si>
    <t>This paper studies the berth operation, in particular, the quay side traffic condition in one of the busiest container port in Hong Kong. The developed simulation model effectively incorporates both the traffic model and service model, built using the AutoMod simulation tool. Sensitivity analysis was performed on different scenarios and configurations at the quay side. The results reveal that an increase in the number of internal tractors increases the productivity of the quay cranes, and the deployment of a traffic controller can improve the traffic congestions but may not help to improve the utilization of the quay cranes. Apart from the flow control of the tractors, the closure of tractor lanes under a quay crane also reduces the performance of the quay crane. The simulation studies performed provides a definitive basis for evaluating the performance of the berth and for determining the potential for the operation improvements of a port container terminal in general. © Springer-Verlag Berlin Heidelberg 2007.</t>
  </si>
  <si>
    <t>10.1007/978-3-540-77600-0_25</t>
  </si>
  <si>
    <t>Simulation Study of Port Container Terminal Quay Side Traffic</t>
  </si>
  <si>
    <t>REF_232</t>
  </si>
  <si>
    <t>Increasing container traffic and land acquisition problem for terminal expansion leads to usage of external yard in a port buffer area. This condition influenced the terminal performance because a road which connects the terminal and the external yard was also used by non-container traffic. Location choice problem considered to solve this condition, but the previous research has not taken account a stochastic condition of container arrival rate and service time yet. Bi-level programming framework was used to find optimum location configuration. In the lower-level, there was a problem to construct the equation, which correlated the terminal operation and the road due to different time cycle equilibrium. Container moves from the quay to a terminal gate in a daily unit of time, meanwhile, it moves from the terminal gate to the external yard through the road in a minute unit of time. If the equation formulated in hourly unit equilibrium, it cannot catch up the container movement characteristics in the terminal. Meanwhile, if the equation formulated in daily unit equilibrium, it cannot catch up the road traffic movement characteristics in the road. This problem can be addressed using simulation model. Discrete Event Simulation Model was used to simulate import container flow processes in the container terminal and external yard. Optimum location configuration in the upper-level was the combinatorial problem, which was solved by Full Enumeration approach. The objective function of the external yard location model was to minimize user transport cost (or time) and to maximize operator benefit. Numerical experiment was run for the scenario assumption of two container handling ways, three external yards, and thirty-day simulation periods. Jakarta International Container Terminal (JICT) container characteristics data was referred for the simulation. Based on five runs which were 5, 10, 15, 20, and 30 repetitions, operation one of three available external yards (external yard - 3) was the optimum result. Apparently, the model confirmed the hypothesis that there was an optimum configuration of the external yard. Nevertheless, the model needs detail elaboration related to the objective function and the optimization constraint. It requires detail validation, in term of service time value, distribution pattern, and arrival rate in each unit server modeled in the next step of the research. The model gave unique and relatively consistent value of each run. It was indicated that the method has a chance to solve the research problem. © 2017 Author(s).</t>
  </si>
  <si>
    <t>Discrete event simulation model for external yard choice of import container terminal in a port buffer area</t>
  </si>
  <si>
    <t>REF_231</t>
  </si>
  <si>
    <t>An automated container terminal process layout with dual-rail transport trolleys and hollow tracks is studied by means of simulation modeling. 25 layout cases are suggested with varied quay-crane configuration, yard layout and low-frame transporter configuration, and their relevant simulation models are proposed. The parameter effects (the handling efficiency, etc.) of the new automated container terminal are analyzed with the simulation models. The simulation results show that for the layout cases, the increment of quay-crane configuration saves 8% of the average ship handling time, the proper yard depth and block width layout improves the average quay-crane efficiency by 5%, and the increment of low-frame transporter configuration greatly shortens the external truck queuing and enhances the throughput ability of storage yard by 6%. Experiments reveal that simulation models are capable of analyzing the performance of the new concept system, and the optimized layout of automated container terminals with dual-rail transport trolleys and hollow tracks benefits the operation performance, such as yard block width of 1-2 containers and 5-6 low-frame transporter configuration. © 2018, Editorial Office of Journal of Dalian University of Technology. All right reserved.</t>
  </si>
  <si>
    <t>10.7511/dllgxb201804005</t>
  </si>
  <si>
    <t>Layout simulation of a new automated container terminal; [一种新型自动化集装箱码头工艺布局仿真]</t>
  </si>
  <si>
    <t>REF_230</t>
  </si>
  <si>
    <t>Background: Container terminal congestion is often measured by the average turnaround time for external trucks. Reducing the average turnaround time can be resolved by controlling the yard crane operation and the arrival times of external trucks (truck appointment system). Because the truck appointment system and yard crane scheduling problem are closely interconnected, this research investigates synchronization between the approaches used in truck appointment systems and yard crane scheduling strategies. Rubber-tired gantry (RTG) operators for yard crane scheduling operations strive to reduce RTG movement time as part of the container retrieval service. However, there is a conflict between individual agent goals. While seeking to minimize truck turnaround time, RTGs may travel long distances, ultimately slowing down the RTG service. Methods: We address a method that balances individual agent goals while also considering the collective objective, thereby minimizing turnaround time. An agent-based simulation is proposed to simulate scenarios for yard crane scheduling strategies and truck appointment system approaches, which are centralized and decentralized. This study explores the combined effects of different yard scheduling strategies and truck appointment procedures on performance indicators. Various configurations of the truck appointment system and yard scheduling strategies are modeled to investigate how those factors affect the average turnaround time, yard crane utilization, and CO2 emissions. Results: At all levels of truck arrival rates, the nearest-truck-first-served (NTFS) scenario tends to provide lower external truck turnaround times than the first-come-first-served (FCFS) and nearest-truck longest-waiting-time first-served (NLFS) scenario. Conclusions: The decentralized truck appointment system (DTAS) generally shows slightly higher efficiency in emission reduction compared with centralized truck appointment system (CTAS), especially at moderate to high truck arrival rates. The decentralized approach of the truck appointment system should be accompanied by the yard scheduling strategy to obtain better performance indicators. © 2024 by the authors.</t>
  </si>
  <si>
    <t>10.3390/su16229743</t>
  </si>
  <si>
    <t>Sustainable Synchronization of Truck Arrival and Yard Crane Scheduling in Container Terminals: An Agent-Based Simulation of Centralized and Decentralized Approaches Considering Carbon Emissions</t>
  </si>
  <si>
    <t>Green port has been poured more attention, and applying shore side electricity (SSE) is perceived to have a promising performance to reduce ship emission during the berthing period. However, the initial investment of retrofitting berths and ships to use SSE is huge, which becomes the major barrier to the implementation of SSE. Therefore, firstly, we propose an optimization framework to balance the economic and environmental benefits and costs of SSE. To solve the optimization model, we establish an agent based simulation model. Then a series of scenarios of various throughput capacity and subsidy provided by the government are designed. By dealing with the optimization model, comprehensive support in decision-making process can be provided for the manager. Finally, case study show the effectiveness and applicability of proposed optimization framework. © 2018 Transportation Systems in the Connected Era - Proceedings of the 23rd International Conference of Hong Kong Society for Transportation Studies, HKSTS 2018. All rights reserved.</t>
  </si>
  <si>
    <t>Transportation Systems in the Connected Era - Proceedings of the 23rd International Conference of Hong Kong Society for Transportation Studies, HKSTS 2018</t>
  </si>
  <si>
    <t>A decision support tool of shore side electricity in container terminals based on simulation model</t>
  </si>
  <si>
    <t>REF_228</t>
  </si>
  <si>
    <t>A container terminal functioning depends on the interaction of numerous subsystems which, in turn, are related to other systems. Indeed the performances of the container terminal are affected by many factors such as component subsystems of the whole system, equipment, resources and procedure. To represent the relation between those factors, a System Dynamics approach is used. The approach will show the effect of any changes of those factors to performance, to the whole performance and to the performance of the specific factor. The goal of this paper is to model, through a system dynamics approach, terminal container operations and to provide (propose) a new scenario, based on the reassignment of the resources. This study aims to provide a simulation tool which able to control performances of each subsystems and of whole system and to predict the effect of performance improvement of sub systems on whole system. The choice of utilizing the SD paradigm derives from the fact that for complex systems, such as the terminal container one, it is very difficult to collect real data regarding its functioning and and it is possible show the effect of any changes of those factors to performance, to the whole performance and to the performance of the specific factor. © 2014 The authors and IOS Press. All rights reserved.</t>
  </si>
  <si>
    <t>Frontiers in Artificial Intelligence and Applications</t>
  </si>
  <si>
    <t>The interaction of subsystems operating in a container terminal: Modeling peculiarities and simulation solutions for the logistics chain optimization</t>
  </si>
  <si>
    <t>REF_227</t>
  </si>
  <si>
    <t>The main contribution of this paper is to quantify the impact of the allocation of facilities, including the number of facilities and the fuels adopted by facilities, on carbon emissions. In order to deal with the complex queuing network of container terminals, a simulation model is established with the changing of the number of and the fuel adopted by facilities as inputs. Firstly, the operation process and complex queuing network of container terminals are described to explain why simulation technology needs to be used. Then, various simulation experiments based on a container terminal in Algeria are designed and carried out. Finally, the carbon emissions from facilities and ships at berth and inside container terminals, and the total carbon emissions inside container terminals, are obtained and analyzed. Results show that the emissions from facilities are only a small fraction of the total emissions of container terminals. Improving the number of trucks and yard cranes can help reduce carbon emissions, but when the number continues to rise, the emissions are decreased very slightly. The results obtained and proposed method can be applied to build a green container terminal, which can also be used for similar problems. © 2018 by the authors.</t>
  </si>
  <si>
    <t>The Impact of the allocation of facilities on reducing carbon emissions from a green container terminal perspective</t>
  </si>
  <si>
    <t>A key problem of a container terminal is the design and integration of the security procedures, such as the containers inspection, in the normal container terminal operations. The main goal of this paper is to advance a research approach for designing effective operational policies and practices to manage better the flow of containers toward the inspection area as well as understanding the impact on the container terminal efficiency of the integration of the inspection activities in the normal operations. To this end the author uses a modelling and simulation-based approach supported by advanced design of experiments, techniques and response surface methodology. © 2010 Elsevier B.V. All rights reserved.</t>
  </si>
  <si>
    <t>REF_225</t>
  </si>
  <si>
    <t>The productivity measure reflects how reliable a port is in serving customers as a competitiveness of one port against another. This is what makes it important to evaluate the productivity of a port in order to maintain its existence. From the data obtained from the case study port, it is known that in each loading and unloading parameters, the productivity generally still has not reached the specified target. This study discusses the evaluation of productivity in loading and unloading operations of a port due to this operation is the main selling point offered. This study uses a discrete simulation method that can be used to accommodate complexity and uncertainty. By using the discrete event simulation method, the behaviour of the system can be described well by imitating the existing system behaviours in the field. From the analysis that has been done, it is found that the factors that affect the productivity of container loading and unloading at the port are the availability of Combined Tractor Terminal (CTT) trucks, the length of the pier, and the number of Ship to Shore Crane (STS) that must be reviewed comprehensively and systematically. Because if these factors are reviewed independently, these factors cannot show a significant effect on overall loading and unloading productivity. Based on several scenarios that have been tested in this study, the results of the analysis produce two best improvement scenarios to increase loading and unloading productivity at the port. © IEOM Society International.</t>
  </si>
  <si>
    <t>Discrete event simulation approach for container terminal loading and unloading productivity evaluation</t>
  </si>
  <si>
    <t>REF_224</t>
  </si>
  <si>
    <t>It is difficult to build a mathematical model for a railway container terminal because its complexity and randomicity. A simulation based optimization(SBO) algorithm is adopted to search optimal solution on deployment of equipments and the loading-unloading strategies in the railway container terminal, where simulation model is combined with GA. The definition of suppositional evaluation is presented which helps to decrease computing time. To compute fitness quickly and distribute the computing resource rationally, methods of case retrieval and adjusting time step and simulating times are used. All of these make the algorithm not only decrease the computing time evidently but also have the ability to gain satisfied solutions. The performance of the algorithm is demonstrated by a simulation of loading-unloading operation in a railway container terminal. Finally, optimal loading-unloading strategies are analyzed and compared. © 2008 IEEE.</t>
  </si>
  <si>
    <t>Simulation based optimization for the loading-unloading strategies of railway container terminal</t>
  </si>
  <si>
    <t>REF_223</t>
  </si>
  <si>
    <t>Container terminals, serving as the hubs between container ships and other transportations crunodes, are of extreme importance in streamlining the ever increasing global trade. Many different factors affect the service efficiency in container terminals, which inspire great interest in both industrial and academic researches. This paper focuses on vehicle dispatching problem which decides, for each internal vehicle in the port, where to go to find a new loading or unloading task in the whole container terminals after finishing the previous one. A multi-factor online dispatching method, which takes both empty traveling and location balance into consideration, is proposed to fit the current condition of the physical and information infrastructure in most of the ports in mainland China. Such a method is established by using evolution searching function and discrete event simulation combined. © ASCE.</t>
  </si>
  <si>
    <t>10.1061/40996(330)145</t>
  </si>
  <si>
    <t>A mixed model on resolving vehicle dispatching in container terminals</t>
  </si>
  <si>
    <t>REF_222</t>
  </si>
  <si>
    <t>Combined with the key link of the general cargo loading and unloading operations, the system simulation method is employed to analyze the production efficiency for the general cargo handling operation. The Plant Simulation software is used to design the main modules of the production process such as collection operation, vessel arrival, yard operation, horizontal transportation, ship-loading operation. The simulation model of general cargo handling operation is established based on the whole operation process. The simulation model is running based on the practical production data, and the efficiency of the crane, transitions time and the average storage period are analyzed. The experimental results show that the simulation model is a good reflection of the general cargo handling process. The improvement of crane efficiency can benefit the shipment efficiency and reduce the utilization rate of yard. The increase of the transitions time will lead to the reduction of ship-loading efficiency, the sharp rising of yard utilization and make the yard crowded. © 2018, The Editorial Board of Journal of System Simulation. All right reserved.</t>
  </si>
  <si>
    <t>10.16182/j.issn1004731x.joss.201805046</t>
  </si>
  <si>
    <t>Simulation Research of General Cargo Terminal Operation Based on Plant Simulation; [基于Plant Simulation的件杂货码头作业仿真研究]</t>
  </si>
  <si>
    <t>REF_221</t>
  </si>
  <si>
    <t>The escalating demand on container transportation necessitates an efficient container management system to manage daily operations. Perpetual advances in this sector enables us to enhance the overall performance measures such as resource utilisation, time-wastage including waiting and idle times is crucial incapability to manage a vast number of containers effectively. Moreover, such improvements can eventually overcome ground barriers in construction site operations such as resource allocation and synchronisation by providing the transported construction materials. In this on-going project, container management issues are addressed. Additionally, a Monte Carlo simulation model is developed to analyse different resource interactions within the system inability to identify feasible schedules for resources in container terminals.</t>
  </si>
  <si>
    <t>OR55 Keynotes and Extended Abstracts - 55th Conference of the Operational Research Society 2013</t>
  </si>
  <si>
    <t>Management of container terminal operations using Monte Carlo simulation</t>
  </si>
  <si>
    <t>REF_220</t>
  </si>
  <si>
    <t>The paper presents a risk-based model to coordinate the preventive-predictive maintenance process of gantry cranes in a container terminal with vessels high demand. The model coordinates the preventive-predictive maintenance process minimizing the risk of Gantry Cranes Inefficiency (GCI). The risk is estimated with a sequential Markov Chain Monte Carlo (MCMC) simulation model. In this paper, the Preventive-Predictive Maintenance Scheduling (PPMS) process of gantry cranes is non-linear stochastic optimization problem and it is efficiently solved with the algorithms Particle Swarm Optimization (PSO). The model allows the terminal container operators to obtain a maintenance schedule that minimizes the risk of GCI, as much as possible in a container terminal; as well as establishing the desired level of risk. The paper demonstrates the proposed model effectiveness with data of a real container terminal. © 2019 IEEE.</t>
  </si>
  <si>
    <t>10.1109/MMAR.2019.8864636</t>
  </si>
  <si>
    <t>2019 24th International Conference on Methods and Models in Automation and Robotics, MMAR 2019</t>
  </si>
  <si>
    <t>Integrated maintenance decision making platform for gantry cranes in container terminal</t>
  </si>
  <si>
    <t>REF_219</t>
  </si>
  <si>
    <t>Container terminal productivity is a benchmark for the level of effectiveness of a container port. One indicator of container terminal productivity level can be calculated through yard throughput. Several factors affect yard throughput, one of which is the number of truck terminals. This study aims to investigate the effect of the number of truck terminals on yard throughput at a container terminal. The investigation was conducted using a container terminal simulation which was based on the discrete event simulation method. As a case study, a simulation of a container terminal with a dock length of 300 m with several quay cranes was two units. The simulation was done by parameters adding the number of truck terminals and variations in the capacity of ships coming. The results of the simulation show that an increase in the number of truck terminals affects the number of outputs, depending on the size of the loading and unloading vessels. From the simulation results obtained, the largest yard throughput capacity of 809 containers with the number of truck terminals is 8 units on a shipload of 1,000 twenty-foot equivalent units. The results of this study provide an overview of the needs of the truck terminal in the container terminal. © 2023, Kasetsart University Faculty of International Maritime Studies. All rights reserved.</t>
  </si>
  <si>
    <t>10.33175/mtr.2023.262975</t>
  </si>
  <si>
    <t>Maritime Technology and Research</t>
  </si>
  <si>
    <t>Research on the effect of number of yard trucks on container terminal throughput</t>
  </si>
  <si>
    <t>Optimal scheduling and routing strategies of port equipment are essential so that terminal operators can improve operational efficiency by handling the growing volume of goods and reducing the costs and time associated with transferring goods. There have been many studies on optimizing a container terminal’s total makespan or minimizing energy consumption, but few on reducing equipment waiting time, which is a crucial factor in avoiding congestion at container interchange locations. The research addresses the integrated scheduling problem by proposing an artificial intelligence (AI)-driven framework that incorporates a multi-agent proximal policy optimization (MA-PPO) based deep reinforcement learning (DRL) scheme. A novel methodology is realized by a multi-objective optimization problem (MOP) for integrated scheduling operations of multiple equipment, such as automated guided vehicles (AGVs), quay cranes (QCs), and yard cranes (YCs) in automated container terminals (ACTs), aiming to minimize waiting times and the operational time of each equipment. Using a multi-agent simulation model, the paper has developed and tested scheduling and routing strategies under varying cargo volumes. Extensive simulation results demonstrate the superiority of the proposed method in terms of solution quality and convergence speed. In particular, the ratio between the average operation time of AGVs and the average waiting time for port equipment remains consistent even as the amount of cargo handled increases, demonstrating the stability and robustness of the proposed approach. Finally, this study proposes an intelligent decision-support tool for terminal operators to enhance efficiency, safety, and productivity in a highly dynamic, competitive environment. © The Author(s), under exclusive licence to Springer Nature Limited 2025.</t>
  </si>
  <si>
    <t>10.1057/s41278-025-00342-3</t>
  </si>
  <si>
    <t>Optimizing multi-objective scheduling of port equipment using deep learning for automated container terminals</t>
  </si>
  <si>
    <t>REF_217</t>
  </si>
  <si>
    <t>The problem of analysing operational policies for transhipping containers in a port container terminal is studied using an agent-based simulation approach. The decision makers involved in transhipment operations, i.e., the terminal manager, the port captain, the stevedores and the ship captains, as well as some of the operators of the physical resources, such as cranes and straddle carriers, are modelled as agents. A simulator, called SimPort, has been developed to illustrate the viability of this approach, To exemplify its usage, it has been configured based on real data from container terminals and used for comparing eight operational policies in several scenarios. The policies concern the sequencing of ships, berth allocation, and stacking rule. The policies are evaluated with respect to a number of aspects, such as, turn-around time for ships and travelled distance of straddle carriers.</t>
  </si>
  <si>
    <t>WSEAS Transactions on Computers</t>
  </si>
  <si>
    <t>Evaluating container terminal transhipment operational policies: An agent-based simulation approach</t>
  </si>
  <si>
    <t>REF_216</t>
  </si>
  <si>
    <t>Simulation technology is already state of the art in planning of container terminals. Nowadays ecological topics become more and more important in all fields of society, also in logistics. This paper illustrates the combination of an approved simulation based planning tool with acoustic noise emission and transmission analysis. The resulting system will help the planner to identify noise problems in a very early phase of planning.</t>
  </si>
  <si>
    <t>8th European Conference on Noise Control 2009, EURONOISE 2009 - Proceedings of the Institute of Acoustics</t>
  </si>
  <si>
    <t>Container terminal planning regarding acoustic noise analysis</t>
  </si>
  <si>
    <t>REF_215</t>
  </si>
  <si>
    <t>In order to address the congestion problem of vehicles in quay of automated container terminal with parallel layout and side-loading operations, the study regards the terminal operation system as a multi-agent system (MAS). Then, A dynamic cooperative speed regulation strategy for a group intelligence-oriented multi-ART (Artificial Intelligence Robot of Transportation) is proposed to realize the smart and distributed traffic control of container terminals. Via the real-time data interchange and message passing with ART group, the individual ART implements the collaborative speed regulation with the combination of the dynamic speed regulation strategy. Through the above-mentioned method, the sequence of ARTs arriving at the quay can be adjusted, which can decrease the waiting time of ARTs at the quay. Considering the consistency problem of individual and group agent among the dynamic speed regulation of ARTs, a novel distributed consensus protocol is established to assure that the individual status of ART will tend to converge basically during the collaborative speed regulation process, and the convergence of system can be guaranteed. Based on the case of automated container terminal of Tianjin Port, the paper establishes a multi-agent based simulation model, and simulates the decision-making process, and validates the effectiveness of mentioned model and strategy. The results demonstrate that the strategy can decrease the waiting time of ARTs under uncertainty environment of terminal and improve the operation efficiency of system.  © 2013 IEEE.</t>
  </si>
  <si>
    <t>10.1109/ACCESS.2022.3223360</t>
  </si>
  <si>
    <t>IEEE Access</t>
  </si>
  <si>
    <t>Study on Distributed Consistent Cooperative Control of Multi-ART in Automated Container Terminals</t>
  </si>
  <si>
    <t>This paper presents the results of nine independent studies that link a seaport container terminal's long-run average quay crane rate to various strategic and tactical decisions made by the terminal operating company. New numerical results on yard capacity, fleet composition, truck substitutability, and terminal scalability issues are obtained using a fully-integrated, discrete event simulation model of a vessel-to-vessel transshipment terminal that is designed to reproduce the microscopic, stochastic, real-time environment at a multiple-berth facility. These are the first such studies to be conducted using a fully-integrated simulation model of a non-automated container terminal. © 2010 Elsevier Ltd.</t>
  </si>
  <si>
    <t>10.1016/j.tre.2010.07.007</t>
  </si>
  <si>
    <t>Decision support for yard capacity, fleet composition, truck substitutability, and scalability issues at seaport container terminals</t>
  </si>
  <si>
    <t>REF_213</t>
  </si>
  <si>
    <t>Owing to the limitation that existing simulation and optimization method applied to Container Terminal Logistics Systems (CTLS), based on computational thinking, the classical micro PID control mechanism and promising simulation-based optimization method in complex systems were combined to propose the complete task scheduling computational architecture and the relevant resource allocation computing mode oriented to CTLS, thus a high quality multi-objective satisfactory solution of planning and scheduling under dynamic and uncertain environments was obtained in the range of allowable decision time. Through a case of large-scale container terminal, the defined PID scheduling algorithm was designed and executed for parameters tuning, and the performance of algorithm by using optimal processing parameters was evaluated comprehensively from the perspective of traffic capacity, task latency, resource utilization and load balancing, and the corresponding conclusions were given. © 2016, CIMS. All right reserved.</t>
  </si>
  <si>
    <t>10.13196/j.cims.2016.03.028</t>
  </si>
  <si>
    <t>Jisuanji Jicheng Zhizao Xitong/Computer Integrated Manufacturing Systems, CIMS</t>
  </si>
  <si>
    <t>Container terminal task scheduling oriented to PID control and simulation optimization</t>
  </si>
  <si>
    <t>REF_212</t>
  </si>
  <si>
    <t>Efficient dispatching of vehicles and transport orders between the quayside and the yard of container terminals is an important challenge for terminal operators. Despite the large amount of literature in this field, there is no systematic approach investigating the effects of terminal characteristics on the performance of different dispatching methods. This simulation study aims to close that research gap for the case of different dynamic dispatching methods. © Springer International Publishing AG 2018.</t>
  </si>
  <si>
    <t>10.1007/978-3-319-74225-0_22</t>
  </si>
  <si>
    <t>Lecture Notes in Logistics</t>
  </si>
  <si>
    <t>Simulation-Based Analysis of Dispatching Methods on Seaport Container Terminals</t>
  </si>
  <si>
    <t>REF_211</t>
  </si>
  <si>
    <t>The oil &amp; gas industry is characterized by very high capital and operational costs of facilities: new projects, such as oil or gas processing plants, refineries, LNG plants involve investments frequently running into billions of euros. Operational costs are also very significant: the cost of chartering ships is tens of thousands of euros per day. The exploitation of opportunities for cost reduction and increased revenues can yield large dividends and increase margins. In order to assess the holistic performance of their asset portfolio, which is strongly affected by interdependence among assets, oil &amp; gas companies need to use simulation modelling to analyze complex systems in order to improve the quality of decision making: by using simulation to conduct a series of ‘what-if’ analyses, they can ascertain how improvements can be made and benefits realized. Indeed, combinations of changes may prove to be synergistic and may lead to bigger returns, as well as the outcome of combinations of changes, which is sometimes counterintuitive, could prove disastrous if implemented. Simulation enables proposals to be fully validated and decisions to be consciously made with the support of a proven methodology. In short, the main benefit coming from the application of simulation techniques is the possibility to best-estimate the risk associated with major business decisions, reducing unnecessary conservatism. The paper provides an overview of the possible applications of simulation methodologies, a relatively simple example of which is shortly described, namely the Porto Empedocle LNG terminal carried out to support the terminal basic design. The model developed represents the logistic chain from the overseas loading terminals to the gas delivery to the network. The results of the simulation have been used by the Project holders to verify acceptability of the solutions developed and to optimize the terminal design. © Offshore Mediterranean Conference and Exhibition 2007, OMC 2007. All Rights Reserved.</t>
  </si>
  <si>
    <t>Offshore Mediterranean Conference and Exhibition 2007, OMC 2007</t>
  </si>
  <si>
    <t>Simulation of marine terminal operations</t>
  </si>
  <si>
    <t>REF_210</t>
  </si>
  <si>
    <t>Modeling and simulation in design processes is traditionally used during the analysis of the future system. However, simulation-based design allows the use of modeling and simulation throughout the synthesis phase which offers greater flexibility to quickly compare alternative designs. In case of container terminals, these alternatives are based on different aspects such as layouts, terminal operating systems, and equipments. Container terminals are characterized by a large number of entity types with multiple instances, interacting in various non-trivial ways. A component-based approach makes the construction of a suitable model easier: the designer can focus on the relevant constructs instead of lower level details. However, much effort is needed to achieve compatibility and modularity between the components. DEVS provides the higher level constructs to conceptualize a complex system independently from the underlying implementation. We present a DEVS component library for container terminal design wherein much attention has been put into the conceptual distinction between control and mechanics. This results in a library that can actively support the design process of containers terminals. © Copyright 2010 ICST.</t>
  </si>
  <si>
    <t>10.4108/ICST.SIMUTOOLS2010.8670</t>
  </si>
  <si>
    <t>SIMUTools 2010 - 3rd International ICST Conference on Simulation Tools and Techniques</t>
  </si>
  <si>
    <t>A DEVS component library for simulation-based design of automated container terminals</t>
  </si>
  <si>
    <t>REF_209</t>
  </si>
  <si>
    <t>This study provides a simulation based framework for the optimal integration of the various activities within a container terminal. The operation of a container terminal is made possible thanks to the interaction of numerous subsystems, which, in turn, depend on other subsystems. Indeed the performances of the container terminal are affected by many factors such as component subsystems of the whole system, equipment, resources and procedures. In order to represent the relation between these factors, a System Dynamics approach is proposed. This approach tries to explain: 1) the interactions between all subsystems of the system; 2) the effect of any changes of their factors to the global performance. This study aims to provide management tools to control performance of each subsystem and of the whole system and to anticipate the effect of performance improvement of subsystems on the whole system. The choice of utilizing a SD paradigm derives from the possibility of studying through a casual loop diagram the relationships between all variables involved and the effect of any changes of these factors on the each subsystem's performance and on the whole performance by means of a simulation model.</t>
  </si>
  <si>
    <t>26th European Modeling and Simulation Symposium, EMSS 2014</t>
  </si>
  <si>
    <t>A system dynamics approach for improving container terminal operations</t>
  </si>
  <si>
    <t>REF_208</t>
  </si>
  <si>
    <t>Many large container terminalsmake use of diesel-powered automated guided vehicles (AGVs) to transport containers between quay cranes and container storage, thereby ensuring a high degree of productivity. However, battery-powered AGVs (B-AGVs) appear to have several economic, environmental, and technical advantages compared to conventional transport fleets. In this study, we use data from a large-scale electric mobility project conducted in a container terminal using B-AGVs in combination with a battery-swapping station to assess the cost efficiency of this emerging transport technology based on a total cost of ownership analysis. Furthermore, we adapt researchmethodologies fromthe fields of operations research (optimization) and informatics (simulation) to improve the profitability of B-AGVs. Our findings indicate that the use of B-AGVs is economically beneficial in closed transport systems while several strategies can be used to further increase their profitability. Most promising from an economic perspective is shifting charging processes to off-peak hours, yielding lower energy procurement costs. In this context, terminal operators can achieve savings in total expenditures of more than 10% compared to a diesel-powered transport fleet. © 2015 Elsevier Ltd.</t>
  </si>
  <si>
    <t>10.1016/j.rtbm.2015.09.002</t>
  </si>
  <si>
    <t>Research in Transportation Business and Management</t>
  </si>
  <si>
    <t>Using battery-electric AGVs in container terminals - Assessing the potential and optimizing the economic viability</t>
  </si>
  <si>
    <t>We present a dynamical modeling of integrated (end-to-end) container terminal operations using finite state machine (FSM) framework where each state machine is represented by a discrete-event system (DES) formulation. The hybrid model incorporates the operations of quay cranes (QC), internal trucks (IT), and yard cranes (YC) and also the selection of storage positions in container yard (CY) and vessel bays. The QC and YC are connected by the IT in our models. As opposed to the commonly adapted modeling in container terminal operations, in which the entire information/inputs to the systems are known for a defined planning horizon, in this research we use real-time trucks, crane, and container storage operations information, which are always updated as the time evolves. The dynamical model shows that the predicted state variables closely follow the actual field data from a container terminal in Tanjung Priuk, Jakarta, Indonesia. Subsequently, using the integrated container terminal hybrid model, we proposed a model predictive algorithm (MPA) to obtain the near-optimal solution of the integrated terminal operations problem, namely the simultaneous allocation and scheduling of QC, IT, and YC, as well as selecting the storage location for the inbound and outbound containers in the CY and vessel. The numerical experiment based on the extensive Monte Carlo simulation and real dataset show that the MPA outperforms by 3-6% both of the policies currently implemented by the terminal operator and the state-of-the-art method from the current literature.  © 2000-2011 IEEE.</t>
  </si>
  <si>
    <t>REF_206</t>
  </si>
  <si>
    <t>This research addresses the critical necessity for energy-efficient solutions in port operations. The primary objective of this paper is to introduce and assess the viability of an innovative infrastructure termed Underground Reefer Container Storage (URCS) devised to mitigate the significant and increasing energy demand posed by reefer containers in ports. This study employs a discrete-event simulation (DES) model to evaluate the feasibility, environmental implications, and cost-effectiveness of three distinctive URCS infrastructure designs. These designs are compared against conventional storage methods to ascertain their capacity for minimizing energy usage and greenhouse gas emissions. The analysis reveals that the best scenario for a specific case study involves a multi-block layout comprising two underground yards, capable of accommodating 39% of the overall refrigerated container capacity at a port. This layout cuts CO2 emissions by 61% from the 2.704 GWh/year energy used by refrigerated containers, yielding around 1.4 million USD/year cost savings. Further analyses using weighted searches to prioritize URCS container slotting led to shorter container dwell times at ports, rendering energy savings 23% higher than in similar unplanned settings. Moreover, this study presents URCS as an eco-friendly alternative for port-based reefer container storage, offering practical alignment with sustainability goals and regulations. The innovative design and its successful application provide holistic insights, paving the way for enhanced port energy management and environmental care. In addition, the implementation of URCS has the potential to reshape port procedures, yielding economic and ecological benefits. This initiative contributes to diminishing the carbon footprint of ports, aligning with global endeavors towards greener and more responsible practices. © 2024 The Author(s)</t>
  </si>
  <si>
    <t>10.1016/j.jclepro.2024.142664</t>
  </si>
  <si>
    <t>Greening container terminals: An innovative and cost-effective solution for sustainable reefer container storage</t>
  </si>
  <si>
    <t>The Port of Hong Kong (HKP) was once the busiest container port in the world, but surpassed by Shanghai and Singapore in the past decade, due to the loss of South China cargo to two other South China ports. The greater inland transport cost and high container handling charges of HKP have been well discussed and thought to be the major disadvantages of HKP, but in recent years the insufficiency of barge berths becomes another issue, as more than half of South China cargo uses barge as the inland transport mode to Hong Kong. In this paper, a simulation model for Kwan Chung Container Terminals of Hong Kong was developed. The interaction between berthing capacity and service level was examined. The findings show that the service level (in terms of vessel waiting time) for barges has been deteriorating in recent years, and will deteriorate significantly if the demand ever increases in the future. The service level for ocean vessels will deteriorate significantly if the demand reaches 20 million TEUs, although this demand level could hardly be realized with bad service level. Finally, the necessity of a new container berths, an issue for more than a decade, is discussed. © 2013 IEEE.</t>
  </si>
  <si>
    <t>10.1109/ICSSSM.2013.6602623</t>
  </si>
  <si>
    <t>2013 10th International Conference on Service Systems and Service Management - Proceedings of ICSSSM 2013</t>
  </si>
  <si>
    <t>An analysis of capacity and service level of the container terminals of Hong Kong</t>
  </si>
  <si>
    <t>REF_204</t>
  </si>
  <si>
    <t>The operation time of external trucks in a container terminal is one of port operation key performance indicators concerned by port operators, external truck operators and related government authorities. With the traffic big data combined with the operation characteristics of the container terminal, the system dynamics method is used to build the simulation model of the operation system for external trucks. The simulation results of the operation time of external trucks are consistent with the actual situation, which provides an effective way to eliminate the “black box” of the operation time of the external trucks. The model can also be applied in multiple scenarios by using the traffic big data, and the simulation results can be adopted by the relevant organizations. © Shanghai Jiao Tong University 2022.</t>
  </si>
  <si>
    <t>10.1007/s12204-022-2415-8</t>
  </si>
  <si>
    <t>Predictive Simulation of External Truck Operation Time in a Container Terminal Based on Traffic Big Data; [基于交通大数据的集装箱码头外集卡作业时长仿真预测]</t>
  </si>
  <si>
    <t>REF_203</t>
  </si>
  <si>
    <t>An object-oriented simulation model was developed using eM-Plant. It imitated production operations in a new container terminal and got simulation results of annual throughput, quay crane utilization, traffic volume etc.. It verified that traffic planning of the terminal was reasonable. An example was given for analyzing and evaluating port logistics system with eM-Plant.</t>
  </si>
  <si>
    <t>Traffic simulation of a container terminal using eM-plant</t>
  </si>
  <si>
    <t>REF_202</t>
  </si>
  <si>
    <t>Tight cooperative control of mobile entities and resources is essential to enhance the efficiency and effectiveness of terminal operation. The paper aims at developing an integrated simulation model which integrates the traffic flow control of internal tractors and the berth operation of a container terminal for evaluation of control policies adopted. Terminal operation is modeled as a discrete event system using the AutoMod simulation tool. The model provides a definitive basis for evaluating the performance of the berth and for determining the potentials for the operation improvements such as to resolve traffic congestion problems of a port container terminal. Copyright © 2007 International Federation of Automatic Control All Rights Reserved.</t>
  </si>
  <si>
    <t>10.3182/20080706-5-KR-1001.2045</t>
  </si>
  <si>
    <t>IFAC Proceedings Volumes (IFAC-PapersOnline)</t>
  </si>
  <si>
    <t>Traffic control of internal tractors in port container terminal using simulation</t>
  </si>
  <si>
    <t>REF_201</t>
  </si>
  <si>
    <t>Based on the actual work, this paper takes into consideration, the container terminal yard operation system to draft the production operation plan as the key clue, a production schedule and optimization simulation platform have been put forward. Firstly, the decision support system's prototype system based on Microsoft Sql Server 2005-based is given out. Secondly, to identify resources in the total amount of production plans and other prerequisites, a set of flexsim simulation models are built. Finally, from the development of production optimization for real-time information required for the program point of view, the simulation platform is built, which is used to integrate all the above. Along with the development of science and technology and economic globalization, the container terminal has developed rapidly. The functions as the hub of the international container transport system and the important node in logistics supply chain are increasing. It is one of the hotspots that research on optimizing control method of the container terminal logistic system. J.G.Kang and Y.D.Kim (2006) combined the branch and bound algorithm with the Tabu search to gain a better stowage plan in a reasonable computing time. Yan zheng and Tao dexin (2006) analyzed the scheduling problem of container trucks in the loading terminal basing dynamic optimization. Jin zhihong (2005) established the optimization model of containers consolidation in multimodal transport. Ji mingjun (2007) established the optimization scheduling model of uniting containers and cranes. However, because the container terminal logistic system is a random and dynamic complex system, when determininig decisions of the entire logistic system, the calculated quantities of the given decision model are fairly large, or the assumptions of the decision model are too many, the decision schema obtained from the model was not exactly in accordance with the practice, and very difficult to optimize the production of the container terminal logistic operation system by regular method. Hence, this article is divided into the following several aspects. © 2010 ASCE.</t>
  </si>
  <si>
    <t>10.1061/41139(387)216</t>
  </si>
  <si>
    <t>ICLEM 2010: Logistics for Sustained Economic Development - Infrastructure, Information, Integration - Proceedings of the 2010 International Conference of Logistics Engineering and Management</t>
  </si>
  <si>
    <t>Study on the production optimization simulation platform for the container terminal yard's operation system</t>
  </si>
  <si>
    <t>REF_200</t>
  </si>
  <si>
    <t>Coal-fired power plants need a reliable and steady supply of coal for their operation. The set-up of an import terminal requires huge investments in facilities like harbour infrastructure, stockyards and equipment. When multiple power plants are closely located, sharing of facilities can be very profitable. The objective of this study is to gain insight in facility sharing for dry-bulk environments. Cooperative game theory is used to distribute the expected benefits from different levels of collaboration between participants. In order to take stochastic influences into account and also to quantify the effects of collaboration on the reliability of the terminal a detailed simulation model is built. This simulation model is used to evaluate terminal performance in possible cooperative and non-cooperative terminal configurations. The results of the study show that facility sharing is very profitable. Furthermore, the non-trivial outcome of the cost allocation proofs the value of an approach using game theory. © 2015 IEEE</t>
  </si>
  <si>
    <t>Facility sharing at dry-bulk terminals using game theory and simulation</t>
  </si>
  <si>
    <t>REF_199</t>
  </si>
  <si>
    <t>Container terminals, serving as the hubs between container ships and other transportations nodes, are of extreme importance in streamlining the ever increasing global trade. Many different factors affect the service efficiency in container terminals, which inspire great interest in both industrial and academic researches. This work focuses on vehicle dispatching problem which decides, for each internal vehicle in the port, where to go to find a new loading or unloading task in container terminals after finishing the previous one. A multi-factor online dispatching method, which takes both empty traveling and location balance into consideration, is proposed to fit the current condition of the physical and information infrastructure in most of the ports in mainland China. Such a method is established by using combined evolution searching function and discrete event simulation. Through comparing our dispatching method with the traditional dedicated vehicle dispatching methods in various simulation cases, together with theoretical analysis, we prove that our method delivers substantial efficiency improvement in terms of reducing ship serving time and vehicle empty traveling, regardless of changing environment we have examined in the study. © 2014 Elsevier Ltd. All rights reserved.</t>
  </si>
  <si>
    <t>10.1016/j.eswa.2014.12.041</t>
  </si>
  <si>
    <t>A simulation optimization method for vehicles dispatching among multiple container terminals</t>
  </si>
  <si>
    <t>Maritime container terminals are complex infrastructures designed specifically to handle a large number of containers, and which play a relevant role in international freight transport. Terminal managers must deal with a wide variety of interrelated logistic problems, and the effectiveness and productivity of the terminal depends on their solution. Management strategies are therefore necessary to increase their effectiveness and productivity, and thereby reducing the costs of these operations. This task is complicated by imprecise data and the need to satisfy several criteria, many of which are subjective, when evaluating the solutions. One of these logistic problems, the quay crane scheduling problem, has attracted the attention of many researchers since quay cranes are one of the most valuable resources in the port. Many proposals based on optimization algorithms have tackled this problem but the vast majority disregard the uncertainty inherent in this kind of systems and the impact of internal delivery vehicles. An intelligent system which integrates Artificial Intelligence techniques and simulation tools is proposed to aid terminal managers. The system combines an intelligent evolutionary algorithm to generate high quality schedules for the cranes with a simulation model that incorporates uncertainty and the impact of internal delivery vehicles. The joint use of these tools provides managers with enhanced information to decide on the quality and robustness of the proposed schedules, resulting in better solutions for everyday situations. Our intelligent system based on the optimization-simulation model provides clear benefits to maritime terminal management. The system efficiently identifies high quality schedules and can be used to evaluate its robustness. It is also flexible and can easily be adapted if other elements need to be introduced, which may affect the goodness of a schedule. © 2019 Elsevier Ltd</t>
  </si>
  <si>
    <t>10.1016/j.eswa.2019.112852</t>
  </si>
  <si>
    <t>Simulation-optimization for the management of the transshipment operations at maritime container terminals</t>
  </si>
  <si>
    <t>The need for an optimal management of logistic activities in modern container terminals is well recognized. Usually, the optimal management is pursued by decomposing the container terminal system in independent sub-systems to be optimized separately. Vice versa, a less practical approach, would suggest to analyze the whole system, provided that a formal, computerized model is available. We propose a simulation modelling paradigm based on the process interaction world view for the optimal management of logistic activities in a modern container terminal. Paper's focus is on the way of representing processes, resources and jobs that compose our simulation modelling paradigm. Processes are partitioned into activities following a simple to read and easy-to-use codified schema. We show how it is possible to define rules on the modelling paradigm for the optimization of the system. Concepts and representation methodologies are applied to a real case study, where it is asked to optimize the integrated management of berthing points, handling equipments and storage spaces. © 2007 ECMS.</t>
  </si>
  <si>
    <t>10.7148/2007-0479</t>
  </si>
  <si>
    <t>21st European Conference on Modelling and Simulation: Simulations in United Europe, ECMS 2007</t>
  </si>
  <si>
    <t>A simulation modelling paradigm for the optimal management of logistics in container terminals</t>
  </si>
  <si>
    <t>REF_196</t>
  </si>
  <si>
    <t>This paper addresses a critical component of truck appointment systems: scheduling rules. The goal of this study is to gain an understanding of how the various scheduling rules affect resource utilization and truck turn time in grounded operations. Such an understanding could influence terminal operators and appointment service providers to make changes to their current scheduling practice. To this end, this study seeks to develop a framework for the evaluation of (a) the performance of various simple appointment-scheduling rules under a variety of operating scenarios and (b) the major factors affecting the performance of scheduling rules. This study considers two types of appointment-scheduling strategies that were adopted from the health care sector: (a) individual appointment systems (IASs) and (b) block appointment systems. To determine the effectiveness of the scheduling strategy, this study relies on a simulation model of a container terminal. Simulation is used because it provides a more realistic representation of the complex operations at terminals. In addition, it circumvents the restrictive assumptions of analytical methods. The simulation model developed was constructed with the Flexsim CT discrete event simulation software, the first commercially available off-the-shelf simulation tool for container terminals. The experimental results show a clear benefit for a terminal without an appointment system to use the IAS. Such a scheduling system keeps the yard cranes highly utilized, and it improves the internal yard turn time by about 44%. With the proper spacing between appointments, the IAS can be effective even when a good portion of trucks are walk-ins, no-shows, or late (up to 1 h).</t>
  </si>
  <si>
    <t>10.3141/2100-06</t>
  </si>
  <si>
    <t>Reducing truck turn times at marine terminals with appointment scheduling</t>
  </si>
  <si>
    <t>REF_195</t>
  </si>
  <si>
    <t>Turnaround time, defined as the total time spent by a vessel within the port area, is one of the most important key performance measures for a container terminal. In this paper, the authors propose a hybrid approach based on simulation and genetic algorithms to investigate vessels' turnaround time in a real container terminal under different scenarios characterised by increases in containers traffic and vessels traffic. The authors show how a modular simulation model integrated with optimisation algorithms can be used as an advanced support tool to identify resources capacity constraints and to identify how such constraints affect the vessels' turnaround time. © 2014 Inderscience Enterprises Ltd.</t>
  </si>
  <si>
    <t>10.1504/IJSPM.2014.061464</t>
  </si>
  <si>
    <t>International Journal of Simulation and Process Modelling</t>
  </si>
  <si>
    <t>Hybrid approach for container terminals performances evaluation and analysis</t>
  </si>
  <si>
    <t>REF_194</t>
  </si>
  <si>
    <t>Tractor-trailer units are the primary horizontal transport medium between the ship and the stacking area in container ports, and their efficient operation has a strong influence on loading and unloading rates. This paper presents a comparative study of the vessel loading and unloading procedure at the Port of Durban for conventional tractor-trailer units versus short multi-trailer systems. A discrete event simulation approach was used to model the terminal’s operations using the two types of vehicles, and to analyse the effect on the terminal’s performance and operating costs. The results of the study showed that the current fleet of tractor-trailer units can be replaced by a fleet of multi-trailer systems capable of carrying four twenty-foot equivalent units (TEUs) each, resulting in equivalent quay crane productivity while reducing the terminal’s operating cost per shift for the horizontal transport subsystem. © 2017, South African Institute of Industrial Engineering. All rights reserved.</t>
  </si>
  <si>
    <t>South African Journal of Industrial Engineering</t>
  </si>
  <si>
    <t>The effect of multi-trailer systems on the efficiency of container movements between the ship and the stacks at the Durban container terminal</t>
  </si>
  <si>
    <t>Yard crane operations are often a bottleneck at a container terminal. This paper aims to investigate the effects of various real-time yard crane dispatching strategies on operational cost and gross crane rate (GCR) for nontransshipment container terminals. A general cost estimation model is introduced to incorporate the detailed costs incurred during container handling process within terminal area. The formulas of container handling related parameters are mathematically derived to validate the simulation model. Results reveal that the common nearest truck first served strategy yields the lowest operational cost but the lowest GCR. On the other hand, earliest YT strategy achieves the highest GCR at the expense of higher operational cost with more vessel calls, while nearest YT strategy produces the highest GCR and is the second economical with fewer vessel calls. Under any of the proposed yard crane dispatching strategies, the strategy that separately stacks import and export containers into different blocks outperforms the scattered stacking strategy in terms of GCR, although no distinct cost advantage is obtained. The results provide fundamental insights into the connection between real-time yard crane dispatching strategies and operational performance at manually controlled nontransshipment container terminals. © 2018 Xuhui Yu et al.</t>
  </si>
  <si>
    <t>10.1155/2018/5401710</t>
  </si>
  <si>
    <t>Performance Comparison of Real-Time Yard Crane Dispatching Strategies at Nontransshipment Container Terminals</t>
  </si>
  <si>
    <t>Purpose: This paper examines how the altering nature of planning decisions affects operational efficiency in seaport container terminals. The uncertainty and the role of the planner were investigated considering the dynamic integrated planning function of the quay to yard interface. Design/methodology/approach: A system dynamics model has been built to illustrate the integrated dynamic environment. Data collection was conducted at a leading container terminal at a hub port. The model was simulated for different scenarios to derive findings. Findings: The planner has been identified as the agent who makes alterations between the initial operational plan and the actual plan. The initial plan remains uncertain even when there is no impact from crane breakdowns, requiring a significant number of alterations to be made. The planner who had worked on the yard plan had altered (approximately 45%) the initial plan than the alterations done by the planner who had worked on the vessel plan. As a result, the feedback loop that is created by the remaining moves at each hourly operation influences the upcoming operation as much as crane breakdowns influence. Originality/value: The uncertainty and the role of the planner were investigated considering the dynamic integrated planning function of the quay to yard interface. The findings of this study are significant since terminal efficiency is examined considering the quayside and landside as an integrated system. © 2022, Pacific Star Group Education Foundation.</t>
  </si>
  <si>
    <t>Maritime Business Review</t>
  </si>
  <si>
    <t>This research develops a berth scheduling simulation model to solve the Berth Scheduling Problem at a container terminal. Berth scheduling is influenced by the vessel's arrival time, because it will affect the availability of the quay and material handling. The vessel needs material handling for loading and unloading process in container terminal, there are quay cranes and internal trucks. The internal truck moves the unloading containers from quay to the container yard and the loading containers from container yard to the quay. When the loading and unloading process of a vessel is running, an internal truck is dedicated to a quay crane until the loading and unloading process of a vessel is complete. The number of quay cranes serving a vessel is determined based on the LOA (length over all) of vessel. The quay crane will start loading and unloading when the internal trucks arrive at the quay. It often causes the quay cranes and vessels to wait for loading unloading process. In addition, this will have an impact on the berthing time of the vessel and the waiting time for other vessels that will berth. This research develops a berth scheduling simulation by considering the arrival time of the vessels and internal trucks to get the vessel's berthing schedule and assign the quay crane by minimizing waiting time and berthing time. © 2023 Author(s).</t>
  </si>
  <si>
    <t>10.1063/5.0118770</t>
  </si>
  <si>
    <t>A simulation of berth scheduling problem for container terminals considering internal trucks and vessels arrival time</t>
  </si>
  <si>
    <t>REF_190</t>
  </si>
  <si>
    <t>To enhance the charging efficiency of a battery-powered intelligent guide vehicle (B-IGV) at an automated container terminal (ACT), a dynamic charging scheduling strategy based on vehicle scheduling and rotation, push charging, and pull charging is studied. The objective is to minimize the task completion times while reducing the total number of charging events and improving the overall battery level of the fleet. A simulation model for B-IGV dynamic charging scheduling is developed using a multi-agent system (MAS). Causal analysis experiments are conducted to adjust the charging threshold parameters to find the optimal combination of minimum charging and sufficient battery threshold values. Comparative experiments are designed to validate the effectiveness and robustness of the dynamic charging scheduling strategy. Simulation tests on a 1500 container transport task show that the proposed charging scheduling strategy performs significantly better in effectiveness and feasibility than the traditional "charge-and-leave" strategy. © The Author(s), under exclusive licence to Springer Science+Business Media, LLC, part of Springer Nature 2025.</t>
  </si>
  <si>
    <t>10.1007/s10696-025-09595-9</t>
  </si>
  <si>
    <t>Dynamic charging strategies for battery-powered IGV based on multi-agent simulation in automated container terminals</t>
  </si>
  <si>
    <t>REF_189</t>
  </si>
  <si>
    <t>With the rapid increase of container terminal throughput and the number of vehicles entering and leaving the port, the traditional gate with manual operation mode has become the bottleneck restricting the development of container terminal throughput. The operating characteristics of traditional single-stage gate have been analyzed in this paper, the front gate with channel distribution rules has been set to shunt the container truck, then the multi-stage gate has been established. In addition, the simulation models of single-stage gate and multi-stage gate are established respectively by Plant Simulation. At last, through the statistical analysis of the number of vehicles passing through the gate and waiting time of vehicles queuing at the gate, it is concluded that the configuration of the multi-stage gate can reduce waiting time of vehicles lining at the gate and improve the efficiency of the gate. © 2018 IEEE.</t>
  </si>
  <si>
    <t>10.1109/CCDC.2018.8407365</t>
  </si>
  <si>
    <t>Proceedings of the 30th Chinese Control and Decision Conference, CCDC 2018</t>
  </si>
  <si>
    <t>Simulation analysis of multi-stage gate operation in container terminals</t>
  </si>
  <si>
    <t>REF_188</t>
  </si>
  <si>
    <t>This paper presents a novel method for simulation-optimization that incorporates the sequence in which the decision variables (resource levels) are optimized. The authors hypothesize that implementing such a sequence will reach a comparable solution in less computation time than the traditional method of optimizing simulations. Since container terminals are complex stochastic systems as they consist of different areas, each with detailed and critical functions that may affect the output, this method is applied and tested on a container terminal simulation model. This approach is anticipated to reduce the search space and improve the efficiency of the optimization process. © 2018 IEEE.</t>
  </si>
  <si>
    <t>10.1109/TEMSCON.2018.8488396</t>
  </si>
  <si>
    <t>2018 IEEE Technology and Engineering Management Conference, TEMSCON 2018</t>
  </si>
  <si>
    <t>Sequence-Based Simulation Optimization: An Application to Container Terminals</t>
  </si>
  <si>
    <t>REF_187</t>
  </si>
  <si>
    <t>Throughput capacity is the production capacity of port enterprise under constant exotic environment, and plays a significant role in production control. According to the analysis on influencing factors of throughput capacity and characters of operation system, this paper proposes a simulation model of container terminal operation system based on port service level. By changing input parameters, different simulation schemes can be obtained with the objective to define the relationship between port service level and throughput capacity of container terminals. And some reasonable suggestions can be given to improve the throughput capacity of container terminals. © ECMS Zita Zoltay Paprika, Péter Horák, Kata Váradi,Péter Tamás Zwierczyk, Ágnes Vidovics-Dancs, János Péter Rádics (Editors).</t>
  </si>
  <si>
    <t>10.7148/2017-0197</t>
  </si>
  <si>
    <t>Container terminals capacity evaluation considering port service level based on simulation</t>
  </si>
  <si>
    <t>REF_186</t>
  </si>
  <si>
    <t>Container terminal operators are under pressure to handle the increasing amount of container transfer in the global transportation network. To manage the growth, new container terminals are built or the capacity of existing ones is expanded using modern container handling technologies as well as automatic equipment. An efficient layout of the container terminal is crucial to obtain the maximum capacity. In this paper we present an approach based on a mixed integer linear model to find promising layout configurations for container terminals. Means of simulation are used to validate and evaluate the attained layout configuration. In addition the adequacy of the mixed integer linear model for planning layouts of container terminals is evaluated using the developed simulation model.</t>
  </si>
  <si>
    <t>Layout optimization of container terminals using mathematical programming and simulation</t>
  </si>
  <si>
    <t>REF_185</t>
  </si>
  <si>
    <t>The objective of operation scheduling in container terminals is to determine a schedule that minimizes time for loading or unloading a given set of containers. This paper presents a method integrating reinforcement learning and simulation to optimize operation scheduling in container terminals. The introduced method uses a simulation model to construct the system environment while the Q-learning algorithm (reinforcement learning algorithm) is applied to learn optimal dispatching rules for different equipment (e.g. yard cranes, yard trailers). The optimal scheduling scheme is obtained by the interaction of the Q-learning algorithm and simulation environment. To evaluate the effectiveness of the proposed method, a lower bound is calculated considering the characteristics of the scheduling problem in container terminals. Finally, numerical experiments are provided to illustrate the validity of the proposed method. © 2011 Copyright Vilnius Gediminas Technical University (VGTU) Press Technika.</t>
  </si>
  <si>
    <t>10.3846/16484142.2011.638022</t>
  </si>
  <si>
    <t>A method integrating simulation and reinforcement learning for operation scheduling in container terminals</t>
  </si>
  <si>
    <t>REF_184</t>
  </si>
  <si>
    <t>The contribution of this paper is to provide a simulation-based method to analyze the highly dynamic energy demands in container terminals under different arrival interval of ships. In order to overcome the complicated and stochastic operation processes in container terminals and obtain the energy demands at each time step, a simulation model is established. Then, various simulation models based on a container terminal in Northeast China are developed and carried out to study the impact of arrival interval of ships on energy demands. Finally, the energy demands in the container terminal are obtained and analyzed after running the simulation models. The results indicate that the energy demands represent a high randomness and large variations. When arrival interval changes from 5 h to 10 h, there is a sharp fall in the daily average energy demands, while as arrival interval changes from 15 h to 20 h, the daily average energy demands mainly concentrate between 0 MW and 1 MW. The obtained results and proposed method can provide references for power department policy making and balancing energy supply and demand in container terminals. © 2019 IOP Publishing Ltd. All rights reserved.</t>
  </si>
  <si>
    <t>10.1088/1755-1315/351/1/012031</t>
  </si>
  <si>
    <t>A simulation-based method for analyzing energy demands in container terminals under different arrival interval of ships</t>
  </si>
  <si>
    <t>REF_183</t>
  </si>
  <si>
    <t>This article presents the development of a Digital Twin (DT)-based tool for optimizing scheduling in solid bulk export port terminals. The approach integrates agent-based simulation with the Ant Colony System (ACS) metaheuristic to efficiently plan railway unloading, stockyard storage, and maritime shipping. The model interacts with operational data, anticipating issues and aiding decision-making. Validation was performed using real data from a port terminal in Brazil, yielding compatible results and reducing port stay duration. Tests were based on a Baseline Scenario, aligned with a mineral export terminal, for ACS parameter calibration, along with three additional scenarios: direct shipment, preventive maintenance, and a simultaneous route from stockyard to ships. This study highlights DT's potential to modernize port operations, offering practical support in large-scale logistics environments. © 2025 IEEE.</t>
  </si>
  <si>
    <t>10.1109/WSC68292.2025.11339094</t>
  </si>
  <si>
    <t>Optimization of Operations in Solid Bulk Port Terminals Using Digital Twin</t>
  </si>
  <si>
    <t>REF_182</t>
  </si>
  <si>
    <t>A discrete even simulation is developed for the first container terminal of Hamad's new port of Qatar which is anticipated to start its operations by the end of 2016. The model is based on the operational knowledge of experts from the current port of Doha and Qatar's port authority (Mwani). The challenge in this paper is validating a simulation for a system that has not started its operation. Nonetheless, data and configuration of the current port has been utilized to partially validate the output of the simulation. The preliminary analysis shows promising results and indicate the validity of the model. © 2016 IEEE.</t>
  </si>
  <si>
    <t>10.1109/WSC.2016.7822267</t>
  </si>
  <si>
    <t>A discrete event simulation for the logistics of Hamad's container terminal of Qatar</t>
  </si>
  <si>
    <t>REF_181</t>
  </si>
  <si>
    <t>The paper presents: the terminal's infrastructure, the loading's plans, the equipment's details, the operational data onboard, the systemic analysis of the terminal. In order to highlight the operational optimization in the cargo terminal, operating scenarios are proposed, to which simulation models are attached. Enter parameters such as towing units, return/load/unload speed, the distance between parallel and opposite parking rows and the load pick-up time, using working diagrams. It simulates the operability in the terminal. In the analyzed terminal, the expected size of the ship is not found in the equations attached to a simulation model, because the degree of berth occupancy is actually related to the number of access points, where a frame can be placed and not the length available berth. The terminal usually operates by scheduling ships in advance and therefore arrival times are usually planned in advance and follow a strict schedule. The simulation results (performance indicators) lead to the estimation of the values for the optimal quay time, in relation to the number of units for loading in the proposed scenarios. It takes into account whether the arrival pattern is random or scheduled and the time of service provided by the terminal. Also, the different types of goods and their distribution on the quay are identified and taken into account. A methodology for assessing the level of service provided by the terminal under certain operational constraints is also provided, in part, as a by-product of the methodology. © 2023 SPIE.</t>
  </si>
  <si>
    <t>10.1117/12.2643231</t>
  </si>
  <si>
    <t>Proceedings of SPIE - The International Society for Optical Engineering</t>
  </si>
  <si>
    <t>Contributions regarding the simulation of the optimization of the operation mode in a container terminal</t>
  </si>
  <si>
    <t>REF_180</t>
  </si>
  <si>
    <t>This paper discusses the model development of carbon emission cost in container terminal operations planning using a system dynamics approach. Operational planning in a container terminal consists of planning a vessel at berth process, containers loading and unloading processes by quay cranes, containers transportation process by container trucks, containers loading and unloading processes by yard cranes, and containers receiving and delivery processes by container trailers. In each stage, the process will produce carbon gas emissions. A system dynamics simulation model was applied to determine the optimal allocation of the number of used material handling equipment based on the number of handled containers to minimize the total carbon emissions in a container terminal operations planning. The design of a system dynamics simulation model considers the uncertainty in the vessel arrival time and the number of containers that should be handled on each moored vessel at the berth. The system dynamics model had been applied to a numerical example for resulting the optimal solutions of planning decisions at container terminal operations. © 2019 IOP Publishing Ltd.</t>
  </si>
  <si>
    <t>10.1088/1757-899X/703/1/012014</t>
  </si>
  <si>
    <t>Carbon emission modelling in container terminal operations planning using a system dynamics approach</t>
  </si>
  <si>
    <t>REF_179</t>
  </si>
  <si>
    <t>Terminal layout design is an important strategic decision to obtain efficient automated container terminals. Recently, several types of layout design are being implemented to realize side-loading operations, such as U-type and parallel layout design for bilateral-cantilever automated rail-mounted gantry cranes. However, it is lack of a comprehensive comparation with perpendicular layout design for non-cantilever gantry cranes, which allows end-loading operations. Besides, the impact of layout design on terminal performance, such as annual throughput, ship waiting time and operation efficiency of quay cranes, is still not well understood and needs to be estimated in the planning phases of automated terminals. Thus, this study conducts a detailed simulation research on different types of layout design to compare their terminal performance. Novel agent-based simulation models are developed, which incorporate side-loading and end-loading operations under different types of layout design. And simulation-based energy consumption and cost models are developed to evaluate their energy consumption and total cost. Results indicate that U-type automated terminals gain the lowest energy consumption and operation cost, and outperform those with perpendicular layout in terms of operation efficiency and waiting time in most cases. The valuable reference regarding layout design is identified for terminal operators to make strategic decisions. © 2021 Elsevier Ltd</t>
  </si>
  <si>
    <t>10.1016/j.ocecoaman.2021.105882</t>
  </si>
  <si>
    <t>Ocean and Coastal Management</t>
  </si>
  <si>
    <t>Simulation study on terminal layout in automated container terminals from efficiency, economic and environment perspectives</t>
  </si>
  <si>
    <t>Scheduling and decision-making in container terminal logistics system (CTLS) has been the focus of research and application. This paper remodels the operation of CTLS through advancing an innovative multilevel control and feedback framework and methodology. That utilizes the knowledge engine which lies in business intelligence platform to drive the simulation and optimization engine indwelling in the simulation based optimization tool which drives the operation of port ultimately. At the same time, the whole CTLS is modeled by agent-based computing, and the production and scheduling section is based on the Harvard architecture, which serves the turn to solve scheduling and decision-making in the complex system and makes the modeling to process of outstanding agility and robustness. This methodology roots in pervasive computing deeply and helps the executors and managers in port to constitute the scheduling plan and support important decision. Finally, an applied instance on the berth allocation and an equipment layout analysis to support decision are demonstrated to validate the feasibility and creditability of the methodology. © 2008 IEEE.</t>
  </si>
  <si>
    <t>10.1109/ICMA.2008.4798904</t>
  </si>
  <si>
    <t>Proceedings of 2008 IEEE International Conference on Mechatronics and Automation, ICMA 2008</t>
  </si>
  <si>
    <t>Container terminal scheduling and decision-making using simulation based optimization and business intelligence</t>
  </si>
  <si>
    <t>REF_177</t>
  </si>
  <si>
    <t>The aim of this paper is to carry out the pre-dimensioning of a new container terminal with an empiric method and, subsequently, develop a simulation model of the same terminal using a discrete event simulation software and perform the simulation of its operations. The comprehensive model includes the appropriate accesses by road and rail as well as a container freight station. The model is used to study the flows of cargo and equipment along the container terminal, identifying bottlenecks in specific areas and is applied to the study of a new container terminal in the Port of Leixoes. This terminal has a design capacity for 600.000 TEU and the land area available is scarce, so the aim of the study is to validate the method used for the pre-dimensioning, as well as determining by simulation any possible bottlenecks in layout and equipment. The application of simulation has indicated that this terminal, with some conditions, may be able to move the required number of TEUs while keeping within reasonable levels of utilization. © 2018 Taylor &amp; Francis Group, London, UK</t>
  </si>
  <si>
    <t>10.1201/9780429505294-6</t>
  </si>
  <si>
    <t>Progress in Maritime Technology and Engineering - Proceedings of the 4th International Conference on Maritime Technology and Engineering, MARTECH 2018</t>
  </si>
  <si>
    <t>REF_176</t>
  </si>
  <si>
    <t>Due to its convenience for integrating land and marine transportation roll on/roll off (Ro-Ro) ships are very important for offering smooth and flexible services required by the modern world of trade. Ro-Ro ships are able to load trucks or trailer directly via their ramps, thus no lifting equipment is necessary. A lot of seaports are equipped with necessary ramps to facilitate Ro-Ro ships. On the other hand, literature related to Ro-Ro terminal operations is scarce. Thus, this study aims to develop a simulation model for Ro-Ro terminal operations in order to provide a means for better decision making and resource allocation. The model is tested by using the data from a Ro-Ro terminal in Turkey. As a result, it was discovered that the maximum utilization rate of one of the waiting areas exceeded its capacity, which shows that the model could be a useful tool in order to identify possible bottlenecks for the Ro-Ro terminal operations. Copyright © 2013 Inderscience Enterprises Ltd.</t>
  </si>
  <si>
    <t>10.1504/IJLSM.2013.054896</t>
  </si>
  <si>
    <t>A simulation model for decision support in Ro-Ro terminal operations</t>
  </si>
  <si>
    <t>REF_175</t>
  </si>
  <si>
    <t>The explosive growth of freight volumes has greatly increased the work of seaports and urged the port authorities to adopt advanced technologies to cope with the booming containerships. Automated operations providing high efficiency have been considered as one of the ways to deal with this problem. Linear Motors Conveyor Systems (LMCS) and Automated Guided Vehicle Systems (AGVS) are the two candidate automation systems that can be used to improve the performance of yard operations. In this paper, simulation models of LMCS and AGVS employed in marine container terminals are developed to investigate the effect of automation and different cargo handling technologies. Yard performance measures are evaluated by Multi Attribute Decision Making (MADM) method to determine the optimal number of vehicles needed to be deployed. The simulation results show how the performance of the terminal increases when LMCS/AGVS are deployed. The differences between the two technologies, LMCS and AGVS, are also investigated using the developed simulation models.</t>
  </si>
  <si>
    <t>Comparing different technologies for containers movement in marine container terminals</t>
  </si>
  <si>
    <t>REF_174</t>
  </si>
  <si>
    <t>As trade among countries grows, the performance of container terminals is becoming more important than ever. In this paper, we present a 3D real-time-visualization container-terminal simulation model based on Plant Simulation, a commercial simulation modeling and execution tool. Our model reproduces every detailed behavior of container-terminal equipment, including not only movements of yard tractors and cranes but also those of trolleys, spreaders, and other machinery. Such low-level representation enables our simulation model to be easily visualized in 3D form and to offer real-time interactive capability. We analyzed the performance of container terminals by varying the settings such as the speeds of trolleys and spreaders, in detail. The simulation model in this study is expected to be useful for assessment of the effects of prospective new equipment on the performance of container terminals and, thereby, for decision-making on the implementation of such equipment. © 2007 IEEE.</t>
  </si>
  <si>
    <t>10.1109/WSC.2007.4419830</t>
  </si>
  <si>
    <t>A simulation model with a low level of detail for container terminals and its applications</t>
  </si>
  <si>
    <t>REF_173</t>
  </si>
  <si>
    <t>As development of the precision management in the container terminal, close attention was paid to the research on the optimization of the marshalling yard template. The new concept called the yard dispersion in the container yard template was proposed and the professional simulation software Flexsim-CT was used to build a container handling simulation model which includes berth, quay crane, yard scheduling, yard crane, and trucks. The impact of the different yard dispersion on the total handling time and the efficiency of the quay crane under varying service burden was analyzed. The case study combines the simulation model with the real production data from the Yangshan port, the result shows that the yard dispersion having a great influence on the yard scheduling and the following operations. Some advices are also proposed to the port enterprise to improve their works. ©, 2015, Editorial Office of Journal of System Simulation. All right reserved.</t>
  </si>
  <si>
    <t>Research of marshalling yard dispersion based on simulation in container terminal</t>
  </si>
  <si>
    <t>REF_172</t>
  </si>
  <si>
    <t>In this work, different variants of a branch-and-bound procedure for yard crane scheduling at seaport container terminals and their effect on the terminal's performance are studied. In particular, this work investigates the level of detail needed to take the exact crane characteristics, e.g., movements and crane interference, into account in the scheduling algorithm. This is examined for four different automated yard crane systems with one or more cranes that operate on rectangular yard blocks with transfer positions at both ends of the block and with the yard blocks arranged orthogonally to the quay. Using a simulation model with realistic scenario data and an automated guided vehicles system for horizontal transport, the results are compared with respect to different key performance indicators, e.g., yard crane productivity and average lateness of jobs. It turns out that especially the consideration of crane interference leads to significant improvements in yard crane productivity. As a result of the long computation times for some crane systems that render the practical application of the algorithm difficult, an approximation procedure is also developed that generates good results in reasonable time and hence allows for real-time application at a container terminal. © 2015 INFORMS.</t>
  </si>
  <si>
    <t>10.1287/trsc.2016.0687</t>
  </si>
  <si>
    <t>Scheduling of different automated yard crane systems at container terminals</t>
  </si>
  <si>
    <t>REF_171</t>
  </si>
  <si>
    <t>The operating efficiency of a container terminal is largely determined by the number of vehicles available for internal transportation. This article presents a discrete event simulation model, combined with scenario analysis, to help determine the adequate number of vehicles to satisfy the demand for internal container movements at a port in the city of Barranquilla. The model assesses the container movements performed by Straddle Carriers (SC) between the container loading/unloading dock and the storage and inspection yards. The results of the experiments performed indicate that when demand increases by more than 10%, the number of vehicles currently available may be insufficient to cover operating requirements in an efficient manner. The simulation model tests the effectiveness of a set of strategies that may be implemented at the studied terminal. © Springer Nature Switzerland AG 2020.</t>
  </si>
  <si>
    <t>10.1007/978-3-030-33846-6_100</t>
  </si>
  <si>
    <t>Lecture Notes in Networks and Systems</t>
  </si>
  <si>
    <t>Simulation Model of Internal Transportation at a Container Terminal to Determine the Number of Vehicles Required</t>
  </si>
  <si>
    <t>REF_170</t>
  </si>
  <si>
    <t>In this paper we present a discrete event simulation model of a cruise terminal for decision support and strategic planning. The main objective is to provide an analysis tool for systems with high capacity constraints, heterogeneous subsystems, time-dependent demand and stochastic passenger transfer and travel times. Cruise terminals are connected by bus to a transport interchange or intermobility center where passengers are transferred to taxis. All terminals are affected by capacity constraints such as the number of bus platforms for passenger pick-up and drop-off and the limited queuing capacity for taxis and passengers. Passenger arrivals are time-dependent and cruise-type-dependent. The purpose of this model is to support the strategic decision-making process through what-if-scenarios. Decisions involve determining the required number of bus platforms, taxi buffer sizes and passenger distribution policies, among other factors. The results identified and proposed the solution of bottlenecks and enabled a sensitivity analysis to be performed. © 2018 IEEE</t>
  </si>
  <si>
    <t>10.1109/WSC.2018.8632302</t>
  </si>
  <si>
    <t>Modelling and analysis of intermodal passenger operations in a cruise terminal</t>
  </si>
  <si>
    <t>REF_169</t>
  </si>
  <si>
    <t>Background: Container terminals (CTs) have constantly administered truck appointment systems (TASs) to effectively accomplish the planning and scheduling of drayage operations. However, since the operations in the gate and yard area of a CT are stochastic, there is a need to incorporate uncertainty during the development and execution of appointment schedules. Further, the situation is complicated by disruptions in the arrival of external trucks (ETs) during transport, which results in congestion at the port due to unbalanced arrivals. In the wake of Industry 4.0, simulation can be used to test and investigate the present CT configurations for possible improvements. Methods: This paper presents a simulation optimization (SO) and simulation-based optimization (SBO) iteration framework which adopts a dual transactions approach to minimize the gate operation costs and establish the relationship between productivity and service time while considering congestion in the yard area. It integrates the use of both the developed discrete event simulation (DES) and a mixed integer programming (MIP) model from the literature to iteratively generate an improved schedule. The key performance indicators considered include the truck turnaround time (TTT) and the average time the trucks spend at each yard block (YB). The proposed approach was verified using input parameters from the literature. Results: The findings from the SO experiments indicate that, at most, two gates were required to be opened at each time window (TW), yielding an average minimum operating cost of USD 335.31. Meanwhile, results from the SBO iteration experiment indicate an inverse relationship between productivity factor (PF) values and yard crane (YC) service time. Conclusions: Overall, the findings provided an informed understanding of the need for dynamic scheduling of available resources in the yard to cut down on the gate operating costs. Further, the presented two methodologies can be incorporated with Industry 4.0 technologies to design digital twins for use in conventional CT by planners at an operational level as a decision-support tool. © 2024 by the authors.</t>
  </si>
  <si>
    <t>10.3390/logistics8030080</t>
  </si>
  <si>
    <t>Logistics</t>
  </si>
  <si>
    <t>Simulation-Based Optimization of Truck Appointment Systems in Container Terminals: A Dual Transactions Approach with Improved Congestion Factor Representation</t>
  </si>
  <si>
    <t>Truck queuing at marine terminal gates has long been recognized as a source of emissions problem due to the large number of trucks idling. For this reason, there is a great deal of interest among the different stakeholders to lessen the severity of the problem. An approach being experimented by some terminals to reduce truck queuing at the terminal is to provide live views of their gates via webcams. An assumption made by the terminals in this method is that truck dispatchers and drivers will make rational decisions regarding their departure times such that there will be less fluctuations in truck arrivals at the terminal based on the live information. However, it is clear that if dispatchers send trucks to the terminal whenever the truck queues are short and not send trucks when the truck queues are long, it could lead to a perpetual whip lash effect. This study explores the predictive strategies that need to be made by the various dispatchers to achieve the desired effects (i.e. steady arrival of trucks and hence less queuing at the seaport terminal gates). This problem is studied with the use of an agent-based simulation model and the solution to the well known El Farol Bar problem. Results demonstrate that truck depots can manage (without any collaboration with one another) to minimize congestion at seaport terminal gates by using the provided real-time gate congestion information and some simple logics for estimating the expected truck wait time. © 2011 Elsevier Ltd.</t>
  </si>
  <si>
    <t>10.1016/j.retrec.2011.06.004</t>
  </si>
  <si>
    <t>Research in Transportation Economics</t>
  </si>
  <si>
    <t>Application of El Farol model for managing marine terminal gate congestion</t>
  </si>
  <si>
    <t>REF_167</t>
  </si>
  <si>
    <t>The present study addresses the analysis of bulk carrier loading and discharge at the RUSAL Aughinish Alumina refinery, located on the west coast of the Republic of Ireland. We design a realistic simulation model taking into account not only deterministic features, but also elements of uncertainty. Following a statistical analysis of the results, we are able to indicate how the most important variables affect large scale performance descriptors such as berth occupancy, queueing hours and costs. The model is thoroughly validated against historical data and is subsequently applied to determine the impact of changes in key parameters on overall port operation and to suggest possible improvements of the modelled system. © 2014 Elsevier B.V. All rights reserved.</t>
  </si>
  <si>
    <t>The effect of the container truck configuration on the handling operation on container terminal was analyzed. In accordance with the data from a large container terminal in China, a simulation model of ship handling and transportation was built by using Witness simulation software, in which a transportation road network from the front berth to the container yard is included. Through running the model, the effect of the quantity and the speed of the container trucks were analyzed on the ship handling time. It is concluded that for the sake of efficient operation, the quantity of the trucks should be configured dynamically according to the different period of handling, and that a higher speed of the trucks would not necessarily result in a faster handling efficiency. This model could be a good reference to building up the simulation-based prediction system of container terminal built on multi-ship handling and transportation model in future.</t>
  </si>
  <si>
    <t>Configuring container truck optimization based on simulation model of single ship handling and transportation on container terminal</t>
  </si>
  <si>
    <t>REF_165</t>
  </si>
  <si>
    <t>The approach channel has become a key factor constraining the trafficability of seaports, and the impact of channel dimensions on the effective utilization ratio of berths needs to be considered when planning a container terminal. Using a container terminal as an example, this study integrated ship navigation and operation into a simulation of port construction and operation. Applying related industrial standards, we designed a series of simulation plans and determined the parameters of the simulation model. We then quantitatively analyzed the relationship between the effective utilization ratio of the container terminal berths, and the quantity of berths and channel lines and the duration of navigation, to provide a theoretical basis on which to determine the effective utilization ratio of container terminal berths and to estimate the annual trafficability of berths. The results demonstrated that the dimensions of the approach channel are important in achieving a satisfactory effective utilization ratio of berths, especially with a single-line long channel. This study recommends using computer simulation technology when assessing the general port plane layout of real engineering projects to ensure the efficient operation of the port. © 2016, Editorial Department of Journal of HEU. All right reserved.</t>
  </si>
  <si>
    <t>10.11990/jheu.201408035</t>
  </si>
  <si>
    <t>Harbin Gongcheng Daxue Xuebao/Journal of Harbin Engineering University</t>
  </si>
  <si>
    <t>Impact analysis of channel dimensions on the effective utilization ratio of container terminal berths</t>
  </si>
  <si>
    <t>REF_164</t>
  </si>
  <si>
    <t>ICINCO 2008 - 5th International Conference on Informatics in Control, Automation and Robotics, Proceedings</t>
  </si>
  <si>
    <t>Discrete-event simulation of a complex intermodal container terminal a case-study of standard unloading/loading processes of vessel ships</t>
  </si>
  <si>
    <t>REF_163</t>
  </si>
  <si>
    <t>In this article the operational planning of seaport container terminals is considered by defining a suitable integrated framework in which simulation and optimization interact. The proposed tool is a simulation environment (implemented by using the Arena software) representing the dynamics of a container terminal. When the system faces some particular conditions (critical events), an optimization procedure integrated in the simulation tool is called. This means that the simulation is paused, an optimization problem is solved and the relative solution is an input for the simulation environment where some system parameters are modified (generally, the handling rates of some resources are changed). For this reason, in the present article we consider two modelling and planning levels about container terminals. The simulation framework, based on an appropriate discrete-event model, represents the dynamic behaviour of the terminal, thus it needs to be quite detailed and it is used as an operational planning tool. On the other hand, the optimization approach is devised in order to define some system parameters such as the resource handling rates; in this sense, it can be considered as a tool for tactical planning. The optimization procedure is based on an aggregate representation of the terminal where the dynamics is modelled by means of discrete-time equations. © 2009 Taylor &amp; Francis.</t>
  </si>
  <si>
    <t>10.1080/13873950902808636</t>
  </si>
  <si>
    <t>Mathematical and Computer Modelling of Dynamical Systems</t>
  </si>
  <si>
    <t>An integrated simulation-optimization framework for the operational planning of seaport container terminals</t>
  </si>
  <si>
    <t>REF_162</t>
  </si>
  <si>
    <t>Container terminals worldwide are embracing automation to improve their efficiency and throughput performance for dynamic business requirements. However, to achieve the desired cost and operational efficiency of an automated container terminal, a thorough analysis of its performance under various design parameters is necessary at the design stage. In this paper, we propose a novel queuing model for the performance analysis of a container terminal that uses automated lifting vehicles for container transport. A special type of two-phase server is used to capture complex two-phase operations of quay cranes, automated lifting vehicles, and stack cranes, which were ignored in previous studies. Since existing methods cannot solve our resulting queuing model, we develop a new network decomposition-based approach to solve it. First, we validate the proposed analytical framework by developing a simulation model and find that it is quite accurate with a less than 5% average absolute percentage error in the average throughput time. Next, we quantify the value of accurately modeling the two-phase operations of resources in a container terminal. In our numerical analysis, we find that ignoring two-phase operations can lead to an overestimation of the average throughput time from 25% to 65%. Thus, our new modeling approach assists terminal designers in accurately estimating the performance measures. Furthermore, we illustrate an application of our model in resource planning and provide important design insights. © 2025 Elsevier B.V.</t>
  </si>
  <si>
    <t>The development of a simulation model used to support the biomass bulk terminal design and the effects caused by the stochastic design parameters is presented. The simulation model is constructed based on discrete event simulation, using Tool for Object-oriented Modelling And Simulation (TOMAS) software. The arrival and service situation for the transporters is identified as the M/D/1 queuing model, with exponential distributed times between arrival events, and deterministic service time. To be able to compare with M/D/1 situation, the inter arrival time of transporter are adjusted to three to four times longer. It is expected that the waiting time and waiting queue length will be more less the same compared to the simplified simulation model. Results from hinterland part of the simulation model shows the waiting time and waiting queue length are roughly the same as theoretical values.</t>
  </si>
  <si>
    <t>Biomass bulk terminals</t>
  </si>
  <si>
    <t>REF_160</t>
  </si>
  <si>
    <t>This article describes the modelling of a container terminal using Petri nets with predicates. It starts by describing this extension of the basic Petri net theory and demonstrates its applicability and adequacy to solving complex logistic processes and reliability problems more intuitively and easily than the basic Petri net theory. The developed computational model allows the evaluation of different configurations and combinations of transport equipment, providing a very complete port system's simulation. Such simulation, based on an estimated container flow, allows the calculation of several waiting times, time in port, attendant time, queuing time, equipment and resource occupation and so on. Changing the internal configuration of the terminal or the external conditions will result in different costs and profits to the terminal, making it possible to perform a terminal optimization based on the study of long-term performance indicators under different conditions. This systematic approach is implemented in a specific case study related to the operational cargo handling procedures of a container terminal. The study will be made considering verified operation performance over some months where the mean values of the variables considered are representative of the 'typical' operation of that particular terminal, which allows a validation of the model. © Institution of Mechanical Engineers.</t>
  </si>
  <si>
    <t>Proceedings of the Institution of Mechanical Engineers Part M: Journal of Engineering for the Maritime Environment</t>
  </si>
  <si>
    <t>REF_159</t>
  </si>
  <si>
    <t>The handling technology of container terminal has an important influence on the allocation and utilization of the equipment. To analyze service time of ship and utilization efficiency of handling equipment under different handling technology, the professional simulation software Flexsim-CT was used to build a container terminal simulation model which includes berth, quay crane, trucks, yard crane, and yard resource. The analysis of simulation data shows that handling technology of quay crane determines the level of the whole efficiency of terminal operations; also the truck configuration technology has no effect on the overall efficiency. Finally, some handling technology strategies and recommendations were given to improve efficiency which could provide reference basis to choose the different handling technology for container port. © right.</t>
  </si>
  <si>
    <t>Comparative research of handling technologies based on simulation in container terminal</t>
  </si>
  <si>
    <t>REF_158</t>
  </si>
  <si>
    <t>This paper researches on quay crane scheduling for unloading operations in container terminal. Considering quay crane work within its time window, an unloading scheduling simulation model is established.According to the characteristics of the unloading scheduling simulation model,a DoubleList Molecular Structure-based Chemical Reaction Optimization(DLMCRO) algorithm is developed. There are two parts in coding: one is the priority relation of the task, and the other is the task-to-quay-node mapping.Discrete Event Dynamic Simulation(DEDS)is used to simulate the decoding process. Four elementary chemical reaction operations against the problem are designed. The simulation experiment is madeby using data generator.The results of simulation show that DLMCRO can get a stable and satisfactory solution more quickly than CPLEX and GA. And it‘s proved that the model and algorithm are effective. © 2017, The Editorial Board of Journal of System Simulation. All right reserved.</t>
  </si>
  <si>
    <t>10.16182/j.issn1004731x.joss.201712009</t>
  </si>
  <si>
    <t>Chemical Reaction Optimization Algorithmfor Solving QuayCrane Scheduling Problems of Container Terminal; [求解集装箱码头岸桥调度问题的化学反应算法]</t>
  </si>
  <si>
    <t>REF_157</t>
  </si>
  <si>
    <t>A methodology for prediction of life-time design slosh-induced loads for floating liquefied natural gas (LNG) terminals is presented. The methodology is in general common to slosh-induced load assessment of all LNG vessels. Additional considerations specific to FLNGs and FSRU terminals are discussed. Vessel motion responses and slosh loads are computed for strength assessment of pump tower and containment system structure. Present paper demonstrates the numerical simulation based methodology by considering two design conditions, a transit LNG carrier mode and a site-specific terminal mode. Slosh coupling effects are accounted in determining the vessel motion responses. Slosh-induced loads are determined using multiphase finite volume method (FVM) based open-source CFD solver OpenFOAM. Dependency of statistical analysis on design basis, assessment methodology and its consequences on derived sloshing loads are discussed. Finally, application of these loads for structural analysis is discussed. © 2019: The Royal Institution of Naval Architects.</t>
  </si>
  <si>
    <t>RINA, Royal Institution of Naval Architects - 6th International Conference on Ship and Offshore Technology, Papers</t>
  </si>
  <si>
    <t>Seakeeping and sloshing assessment methodology for floating LNG terminals</t>
  </si>
  <si>
    <t>REF_156</t>
  </si>
  <si>
    <t>Cooperation among freight actors in the container transport chain, such as shipping lines and trucking companies, has been shown to reduce logistics costs and adverse environmental impacts, among others. This research investigates the impact of two cooperation mechanisms-utilisation of multi-trailer trucks and backloading operations-on overall container terminal performance. Using real-world data, we developed an agent-based simulation model to assess the impact of increasing percentages of multi-trailer and backloaded trucks on terminal operations. We also tested a truck prioritisation strategy, where trucks are prioritised to be serviced by straddle carriers over quay cranes, as a strategy to reduce truck turnaround times. The simulation results suggest that higher proportions of multi-trailer trucks and backloading operations lead to worsened metrics such as truck turnaround time, truck queue time at gates, crane rate, and hourly container volume processed by straddle carriers. This is mainly due to an increased container volume and throughput as a result of higher productivity trucks. However, the metric of container turnaround time improves, indicating enhanced efficiency per unit of containers. Additionally, implementing a truck prioritisation strategy mitigates the impacts of increased container throughput and the decline in container terminal performance due to the presence of a large number of multi-trailer and backloaded trucks. © 2024 Computers and Industrial Engineering. All rights reserved.</t>
  </si>
  <si>
    <t>Proceedings of International Conference on Computers and Industrial Engineering, CIE</t>
  </si>
  <si>
    <t>IMPROVING PERFORMANCE OF CONTAINER TERMINAL OPERATIONS: AN AGENT-BASED SIMULATION MODEL</t>
  </si>
  <si>
    <t>REF_155</t>
  </si>
  <si>
    <t>Turkey has concentrated its efforts in developing sound projects for economical, safe and environmentally apt transportation of the prominent oil reserves of Iraq Basin markets through the Iraq-Turkey Crude Oil Pipe Line. Turkey as a reliable and stable transit country providing low cost and secure transmission of energy from the Iraq-Turkey Crude Oil Pipe Line Project by benefiting from her geographical advantages. In this study AWESIM simulation modeling program has been used for the BOTAS Ceyhan Marine Terminal of Turkey. This modeling evaluated for 365 days and each ship has approached the port with intervals of 12-24, 12-36, 24-36 and 24-48 hours. Stormy days in a year have been assumed as 30. Each ship demands tug and pilotage service when approaching and leaving the port. As a result, this research has been done to determine the transportation capacity of the port by evaluating the number of ships approaching the port, the extend of queue of ships waiting for the tug service and space for approaching at the port, the amount of time ships queued by the port. To this end, the minimum and maximum transportation capacity has been spotted. © 2013 by Taylor &amp; Francis Group, LLC. All rights reserved.</t>
  </si>
  <si>
    <t>REF_154</t>
  </si>
  <si>
    <t>Automation of handling equipment is a current trend in port container terminal. Because a large number of equipment of different types are involved in the handling operation, the structure of control software is highly complicated. This paper introduces an architectural design of control software and a simulation-based test-bed for testing various control rules of the control software. The suggested control system consists of a ship operation manager (SOM) and system controllers for automated guided vehicles (AGVs) and automated yard cranes (AYCs). A SOM is in charge of dispatching tasks to equipment for preplanned load/unload operations. System controllers assign equipment to the SOM and maintain the information about the location and the status of equipment. To test the control system and the operation methods of the suggested container terminal, an object-oriented simulation system was developed using Java. Using the simulation system, several operation-related issues were tested, including the postponement of dispatching decisions and the sequence rearrangement of AGVs entering transfer areas under quay cranes (QCs). © 2004 Elsevier Ltd. All rights reserved.</t>
  </si>
  <si>
    <t>10.1016/j.cie.2004.05.007</t>
  </si>
  <si>
    <t>An architectural design of control software for automated container terminals</t>
  </si>
  <si>
    <t>REF_153</t>
  </si>
  <si>
    <t>Given the growth in ship size and increasing demands, it is essential for seaport container terminals to make well-founded tactical and operational decisions. Here, horizontal transport is an important element of container terminals, connecting seaside handling with container storage. An efficient design of horizontal transport, especially the assignment of vehicles to orders, strongly influences the terminal performance. Most existing scientific studies vary only individual parameters or dispatching strategies neglecting different terminal targets. This study approaches this research gap. In a discrete-event simulation model, the influence of various terminal parameters on dispatching strategies is examined, taking into account the terminal targets. The two most influencing terminal parameters, terminal size and yard block assignment to containers, are analyzed in detail. The results show that the best choice of yard block assignment and dispatching method for a given terminal size depends on the combination of both parameters and the aspired targets. © 2020 IEEE.</t>
  </si>
  <si>
    <t>Effects of Terminal Size, Yard Block Assignment, and Dispatching Methods on Container Terminal Performance</t>
  </si>
  <si>
    <t>REF_152</t>
  </si>
  <si>
    <t>We study an inbound container housekeeping problem in an automated container terminal. We propose an integer programming model to characterize the problem and provide a meta-heuristic algorithm to solve it. To tackle the random factors in the future retrieval process, a simulation module is embedded in the process of evaluating the objective value. By computational experiments, we demonstrate the effectiveness and efficiency of our method. Moreover, we also conduct sensitivity analysis to examine the impacts of different algorithm parameters. © 2021 Informa UK Limited, trading as Taylor &amp; Francis Group.</t>
  </si>
  <si>
    <t>10.1080/03088839.2021.1934582</t>
  </si>
  <si>
    <t>A Simulation Based Meta-heuristic Approach for the Inbound Container Housekeeping Problem in the Automated Container Terminals</t>
  </si>
  <si>
    <t>REF_151</t>
  </si>
  <si>
    <t>Using a multi-agent system, representing the nodes in the network of the Austrian inland container terminals, and using a system dynamics approach to depict the terminals' internal structures and processes in an aggregate manner, we perform network flow analyses of intermodal load units in case of unforeseen disturbances. Comprehensive case studies of disturbances and irregularities in the flow of goods in Austrian container transport chains and transport systems are the basis of the definition of several risk scenarios. These scenarios are used to investigate the robustness of the network. The simulation results show that the network under consideration has enough capacities to handle the effects of the implemented disruptions and regain initial conditions within a reasonable period of time. Copyright © 2011 Inderscience Enterprises Ltd.</t>
  </si>
  <si>
    <t>10.1504/IJSPM.2011.048012</t>
  </si>
  <si>
    <t>Multi-agent simulation for analysing the robustness of inland container terminal networks</t>
  </si>
  <si>
    <t>REF_150</t>
  </si>
  <si>
    <t>Roll-on/roll-off (Ro-Ro) terminals are important logistic hubs dedicated to vessels and transporters and their loading, unloading and temporary storage. This study aims at assessing the impact of managers' decisions on planning and operational efficiency with a particular focus on vehicle handling. To this end, the terminal operations are described, the operation decisions are analyzed and the costs involved in terminal processes are formalized. The high complexity of the managerial problem, mostly caused by the stochastic nature of the related variables, is resolved with a discrete event simulation model (developed in Arena Rockwell). It supports day-by-day terminal managers' decisions, enabling the evaluation of the economic impact of different operational alternatives on logistic costs and pollutant emissions. The verification and validation of the model were carried out in a real environment. Finally, an illustrative example of the tool usage is presented in a case study. © 2015 Elsevier B.V. All rights reserved.</t>
  </si>
  <si>
    <t>The configuration of the equipment is essential when designing a container terminal. The quay crane (QC) is one of the most important equipment in the container terminal because it decides the capacity of the quayside operation and berth service. A macroscopic simulation model of the quayside operation and berth service in the container terminal is proposed in this study. An integrated berth allocation and QC scheduling strategy is utilised in the simulation. The long-term simulation experiments considering the annual seasonal variation are conducted. And an appropriate configuration of the QCs is selected according to the analysis for key indicators of berth service and quayside operation. The comprehensive analysis indicates the selected configuration is great when the throughput is 2.5 million TEUs and it also can meet the quayside operation when the throughput increases by 20%. © 2022 The Operational Research Society.</t>
  </si>
  <si>
    <t>REF_148</t>
  </si>
  <si>
    <t>During the installation of a cable oil terminal, it is easy to leave scratches on the main insulation owing to uneven forces when removing the semi-conductive layer. Scratch defects cause field intensity distortion, which leads to partial discharge and insulation failure. This study attempts to establish a simulation model of a 220 kV cable terminal to determine the effect of the length, depth, and position of the scratch on the maximum field strength at the defect. The simulation and experiment demonstrate that the maximum field strength at the defect increases with greater length and decreases as the depth increases. Therefore, a prediction method for the terminal defect field strength based on a multivariate nonlinear regression model was proposed in this study. When the defect is located at 20 mm from the root of the stress cone, the maximum field strength is 14.5 MV/m when the length and depth are 2 mm and 1 mm, respectively. The maximum field strength at the defect was predicted based on the length, depth, and position of the scratch defect to evaluate the severity of the defect. Copyright © 2024 Ren, Guo, Ji, Geng, Cai, Men and Liu.</t>
  </si>
  <si>
    <t>Frontiers in Energy Research</t>
  </si>
  <si>
    <t>Field strength prediction of 220 kV cable oil terminal defects based on multivariate nonlinear regression model</t>
  </si>
  <si>
    <t>REF_147</t>
  </si>
  <si>
    <t>NEC-Italy high-performance computing division recognises that computer simulation aided organisation and management is the true challenge for a new generation of advanced decision tools for supporting operations in modern logistic platforms. Collecting academic expertises, research skills, computing machinery and dynamic realities with a significant growth into the field of container terminal logistics is a new R&amp;D project at the CESIC-NEC center at the University of Calabria. The starting idea of this project is that discrete-event simulation is the best modelling approach to manage the complexity of logistic processes at container terminals. For these time-based systems, operating in a stochastic environment, becomes crucial to highlight both congestion and starvation phenomena embedded into logistic processes, in order to achieve reasonable targets of a good management of resources and, therefore, stay on the market. Here we present some queuing network based representations that are at the basis of an integrated simulation model under development. Since large and complex models are affected by a high burden on execution, we also remark the benefits of parallel and/or distributed computational frameworks. Numerical results on parallel analysis of simulation output data are given. © ECMS.</t>
  </si>
  <si>
    <t>10.7148/2008-0261</t>
  </si>
  <si>
    <t>Simulation at a maritime container terminal: Models and computational frameworks</t>
  </si>
  <si>
    <t>REF_146</t>
  </si>
  <si>
    <t>Optimization analysis of transmission system simulation models and discussion on the optimal matching of transmission equipments are carried out based on the existing tridimensional rail power driven container terminal transmission system network. Two-dimensional animation display of the transmission system is realized through multiple simulations utilizing simulation software. The simulation analysis indicates the average operating efficiency of the equipments such as quay crane and gantry crane have reached 82 percent. The simulation results have some valuable reference for the actual production and the realization of the tridimensional transmission system. © (2012) Trans Tech Publications, Switzerland.</t>
  </si>
  <si>
    <t>10.4028/www.scientific.net/AMM.157-158.102</t>
  </si>
  <si>
    <t>Optimization analysis of the tridimensional container terminal transmission system</t>
  </si>
  <si>
    <t>REF_145</t>
  </si>
  <si>
    <t>This paper discusses the problem of scheduling quay cranes, the most important equipment in port terminals. A simulation model is developed for evaluating time of quay cranes. Then a dynamic scheduling model using objective programming for quay cranes is developed based on genetic algorithm approach. Finally, numerical experiments on a specific container terminal are made for propose approach. Computational results suggest that the proposed method is able to solve the problem efficiently. © 2010 Springer-Verlag.</t>
  </si>
  <si>
    <t>10.1007/978-3-642-13498-2_37</t>
  </si>
  <si>
    <t>A quay crane scheduling model in container terminals</t>
  </si>
  <si>
    <t>REF_144</t>
  </si>
  <si>
    <t>The freight logistics includes all the processes which are needed to supply industry, retail and wholesale and the end customers with goods. Such processes generate a flow of goods that, in the global supply chain, mainly relies on the activities carried out within worldwide container terminals. In this paper, the authors present a simulation model of a real container terminal. The simulation model is jointly used with optimization techniques (genetic algorithms) to carry out a range allocation optimization on berth assignment to incoming ships and number of tractors for each quay crane with the aim of minimizing the average time spent by each ship in the port area (decreasing, as consequence, costs and increasing service level provided to final customers). Copyright © (2011) by CAL-TEK S.r.l.</t>
  </si>
  <si>
    <t>REF_143</t>
  </si>
  <si>
    <t>Logistic hubs, and especially container terminals, are today responsible for a major percentage of the environmental pollution. Practices such as the onshore power supply (OPS) may have relevant benefits but it has been argued that container terminal operators perceive a paucity of evidence that the benefits derived from the implementation of these practices exceed the investment costs. To this end, an advanced simulation-based decision support system is proposed in this article to represent a reliable test environment to simulate and compare different alternatives in terms of environmental impacts and economic sustainability. The implementation of an OPS system is considered as case study. Results show that an OPS system must consider the source of the electric power needed by ships at berth, i.e., coal, biofuels or renewable energies. The unit costs of 1 m3 of saved CO2 and NOX by implementing an OPS system are also calculated. Copyright © 2019 Inderscience Enterprises Ltd.</t>
  </si>
  <si>
    <t>10.1504/IJSPM.2019.101008</t>
  </si>
  <si>
    <t>Sustainability in logistic hubs: A decision support system for investigating green practices at container terminals</t>
  </si>
  <si>
    <t>REF_142</t>
  </si>
  <si>
    <t>The article presents the problem of containers storage on a storage yard in an rail-road intermodal land and the emission of harmful exhaust gases into the atmosphere. This issue was considered from the point of view of the distance traveled by transshipment devices, the duration of loading work and the resulting energy expenditure and CO2 emissions. The research was dictated by the current limited number of publications in the area of the distribution of containers on storage yards in rail-road intermodal terminals. The vast majority of the literature is devoted in this field to marine intermodal terminals, which operating characteristics are different from inland terminals. The importance of this problem resulting from the growing turnover of containers transported by rail transport was also pointed out. The systematic increase of this type of transport and the depletion of the intermodal services' operating capability makes it necessary to improve the processes taking place in the storage area. The possibility of improving these processes in addition to the use of computer tools is also realized through the use of modern transshipment devices. Depending on the area of their operation and the scope of their application, these devices use various types of power supply, which affect environmental pollution. In the case of gantry cranes considered in this article, their power supply may come from both combustion engines, hybrids and electric engines. Therefore, from the point of view of minimization of harmful exhaust gases emissions into the atmosphere, in the article, the problem of choosing the device for carrying out transshipment tasks was also taken up. For the purposes of the research, the processes of container handling in the rail-road intermodal terminal have been presented in detail. A review of literature in the field of container storage methods and strategies was carried out. The considered container reloading processes in the wagon-yard relation were modeled in the FlexSim simulation environment. The constructed simulation model was used to develop 5 variants of the distribution of containers on the storage yard as a function of their location on the train. Container deployments on the storage yard were carried out for both random and fixed distribution of containers on the train. In the case of a random arrangement of containers on the train, the tests were carried out for 100 replications. On the basis of simulation tests, the distance covered by the transshipment device (RTG crane) and the time of carrying out the loading tasks in particular variants were determined. Using the crane data provided by the crane manufacturer, the energy expenditure was calculated in individual variants for different power supply methods (combustion engine, hybrid, electric engine). The obtained results allowed the selection of the best strategy for containers storage, taking into account the amount of CO2 emitted to the atmosphere by transshipment devices. © 2018, Middle Pomeranian Scientific Society of The Environment Protection. All rights reserved.</t>
  </si>
  <si>
    <t>Rocznik Ochrona Srodowiska</t>
  </si>
  <si>
    <t>Selection of a container storage strategy at the rail-road intermodal terminal as a function of minimization of the energy expenditure of transshipment devices and co2 emissions; [Dobór strategii składowania kontenerów w lądowym terminalu intermodalnym w funkcji minimalizacji wydatku energetycznego urządzeń przeładunkowych i emisji co2]</t>
  </si>
  <si>
    <t>Indonesia’s high logistics costs—approximately 14.6% of its GDP—pose a significant challenge to national economic competitiveness. Key contributing factors include complex geography, fragmented multimodal transport systems and inefficient container terminal operations, particularly concerning the handling of empty containers. This study investigates operational optimization in a container terminal using Agile and Lean principles, without additional investment or infrastructure expansion. It compares throughput before and after optimization, focusing on equipment productivity and reduction in idle time, especially related to equipment and human resources. Field implementation began in 2015, followed by simulation-based validation using system dynamics modeling. The terminal demonstrated a sustained increase in capacity beginning in 2016, eventually exceeding its original design capacity while maintaining acceptable berth and Yard Occupancy Ratios (BOR and YOR). Agile practices improved empty container handling, while Lean methods enhanced berthing process efficiency. The findings confirm that significant reductions in port operational costs, shipping operational costs, voyage turnover time, and logistics costs can be achieved through strategic operational reforms and better resource utilization, rather than through capital-intensive expansion. The study provides a replicable model for improving terminal efficiency in ports facing similar constraints. © 2025 by the authors.</t>
  </si>
  <si>
    <t>Marine container terminals play an irreplaceable role in modern logistics. They ensure the functioning of material flows and supply chains. Optimal and efficient operations of terminals are increasingly based on full or partial automation. As a result, the expertise and skill prerequisites for service personnel and managers are increasing. This paper presents an original idea of creating a “profession simulator”. Its principle is based on the application of a dynamic computer simulation method. The results represent a generally valid concept for a “profession simulator” that can be calibrated for any container terminal. Within this concept, the inputs, outputs, and processes that take place in the profession simulator are defined. The simulation model is created with the Tecnomatix Plant Simulation program. Mathematical models are implemented for all individual processes in the simulation model. A programming method using the SimTalk 2.0 language is used for their implementation. The obtained results point to the possibility of using the profession simulator to analyze and monitor selected indicators regarding handling techniques, the utilization of maritime terminals, information about the number of transported containers, or the implementation of handling activities. © 2023 by the authors.</t>
  </si>
  <si>
    <t>10.3390/jmse11122264</t>
  </si>
  <si>
    <t>Simulation of Handling Operations in Marine Container Terminals for the Purposes of a Profession Simulator</t>
  </si>
  <si>
    <t>Container terminals have to cope with complex demands, which require a suitable terminal layout connected with proper management strategies. This paper introduces a simulation system for terminal layout optimization and operational support. It was applied to the 'Sea Point' container terminal, which represents a new kind of terminal concept. The simulation model, including management modules, is presented. Exemplary simulation results highlight the system characteristics. Furthermore optimal scheduling and equipment control based on schedules is discussed. © 2005 SICE.</t>
  </si>
  <si>
    <t>Proceedings of the SICE Annual Conference</t>
  </si>
  <si>
    <t>Discrete-event simulation of transshipment container terminals</t>
  </si>
  <si>
    <t>REF_138</t>
  </si>
  <si>
    <t>This paper proposes a framework for collectively simulating marine terminal operations and urban traffic networks. The frame work consists of two simulation models: a flow-based macroscopic simulation model to simulate container terminals' operations, and a microscopic traffic simulation model to simulate freeway traffic networks adjacent to the terminals. The proposed framework is designed to provide seamless and continuous interaction between the two simulation models. As a case study, a stretch of the I-710 freeway, in the State of California, US, adjacent to the Los Angeles/Long Beach (LA/LB) port is constructed in the framework. The constructed framework is used to simulate and quantify the movements of empty containers within the LA/LB port area. © 2009 IFAC.</t>
  </si>
  <si>
    <t>10.3182/20090902-3-US-2007.0080</t>
  </si>
  <si>
    <t>Integrated simulation of freeway traffic flow and container terminal operation: Framework and case study</t>
  </si>
  <si>
    <t>REF_137</t>
  </si>
  <si>
    <t>This article presents a new tool for generating scenarios in container terminals. The tool simulates the arrival of vessels at container terminals. Each new ship call is modelled with eight variables that are crucial to produce scenarios of high practical relevance. Four variables describe the characteristics of container ships (demand) while the other four describe port performance (service). Then the tool generates random numbers from these variables. The random numbers are generated according to statistical distributions. Then the tool detects a 'failure' if the generated number (output) is out of a range of tolerance. The number generator is the first step to develop a complex simulation model which might be used to cope with berth planning and crane scheduling problems in the future. The structure of the generator discussed here is general enough to be applied to any container terminal. Copyright © 2019 Inderscience Enterprises Ltd.</t>
  </si>
  <si>
    <t>10.1504/IJLSM.2019.100117</t>
  </si>
  <si>
    <t>A new tool for generating scenarios in container terminals</t>
  </si>
  <si>
    <t>REF_136</t>
  </si>
  <si>
    <t>A simulation model aimed at representing container handling and internal transfer operations in a pure transshipment container terminal is presented. The main object of the simulator is to support decision making when assigning human-operated straddle carriers (SCs) to quay cranes involved in discharge/loading operations. The path between any couple of origin and destination points is mainly determined by real-time driver choices, therefore decisions must account for vehicle traffic, waiting phenomena and disruptions experienced by the SCs. So, the proposed simulator embodies a multi-step decision process that mirrors the en-route behavior implemented by the SC drivers as a response to the information they receive during their trip. An event-based view, under stochastic conditions, is adopted to reproduce the point-to-point transfer process for SCs along the internal reticular paths within the Manhattan-like layout of the storage blocks in the yard. The usage of the simulator is illustrated through numerical experiments based on real-life data. © 2017 European Union.</t>
  </si>
  <si>
    <t>10.1109/CoDIT.2017.8102637</t>
  </si>
  <si>
    <t>2017 4th International Conference on Control, Decision and Information Technologies, CoDIT 2017</t>
  </si>
  <si>
    <t>Supporting human-operated vehicle dispatching in a maritime container terminal by simulation</t>
  </si>
  <si>
    <t>REF_135</t>
  </si>
  <si>
    <t>In this paper we present a discrete event simulation model to approach the decision problems arising from an expansion plan of a marine container terminal. In particular the preliminary study herein presented starts from a collaboration with the Southern European Container Hub (SECH) sited in the Port of Genoa, Italy. The planned expansion will take place from 2010, the terminal area will enlarge, thus being capable of doubling the present TEU handling capacity. Due to the foreseen increase in the traffic volume, there is the need of defining new management policies, mainly related to the organization of the yard and quay sides of the terminal. The proposed simulation model, that has been implemented by the Witness software environment, can be used to analyse different scenarios, pertaining to possible changes of the import/export flows, handling techniques, different equipments and investment options as well as different operative rules for the berthing and storage area. © ECMS.</t>
  </si>
  <si>
    <t>10.7148/2009-0288-0294</t>
  </si>
  <si>
    <t>Proceedings - 23rd European Conference on Modelling and Simulation, ECMS 2009</t>
  </si>
  <si>
    <t>A discrete event simulation model for the analysis of critical factors in the expansion plan of a marine container terminal</t>
  </si>
  <si>
    <t>REF_134</t>
  </si>
  <si>
    <t>Space allocation problem (SAP) in container terminals is one of the yard management challenges in short-term planning, however, the impact of container reshuffling to the SAP is neglected in much of the literature as well as in real terminal planning. This study focuses on the SAP that accounts for container reshuffling, where the macro-level impact of reshuffling is derived from discrete event simulation and integrated into mix integer programming model. Empirical approaches are developed to achieve a trade-off between fast computation and good solutions. The result shows that ignoring reshuffling activities during planning will lead to overestimation on yard capacity. © 2020 Elsevier Ltd</t>
  </si>
  <si>
    <t>10.1016/j.tre.2020.101869</t>
  </si>
  <si>
    <t>Container reshuffling considered space allocation problem in container terminals</t>
  </si>
  <si>
    <t>In Container Terminals (CTs), many containers are daily delivered by a large number of External Trucks (ETs) which lead to several issues such as long waiting times at gates and yards, harmful emissions, and low productivity of the CTs. To resolve these issues, truck appointment systems are used to schedule appointments of ETs and achieve more balance in CTs’ workload. Most of the studies have focused on deterministic modelling of the ETs’ arrival process with considering yard operations or gate operations. Also, a little effort has been devoted to collaboration between trucking companies and CTs when scheduling ETs’ appointments. Unlike previous studies, this paper presents a simulation-based optimization approach to collaboratively schedule ETs’ appointments with considering yard and gate operations as well as their stochastic natures. The proposed approach integrates a simulation model with an MIP model with objective of minimizing turnaround times of ETs and inconveniences resulting from shifting the arrivals of ETs away from their preferred arrival times. The proposed approach is validated against an approach from literature. In addition, its performance is investigated by solving artificial instances inspired by real data. A framework for implementing the proposed system in the IoT-based container terminals is also developed. © 2019 Informa UK Limited, trading as Taylor &amp; Francis Group.</t>
  </si>
  <si>
    <t>10.1080/02286203.2019.1615261</t>
  </si>
  <si>
    <t>A simulation-based optimization approach for external trucks appointment scheduling in container terminals</t>
  </si>
  <si>
    <t>REF_132</t>
  </si>
  <si>
    <t>Storage allocation of outbound containers is a key factor of the performance of container handling system in automated container terminals. Improper storage plans of outbound containers make QC waiting inevitable; hence, the vessel handling time will be lengthened. A simulation-based optimization method is proposed in this paper for the storage allocation problem of outbound containers in automated container terminals (SAPOBA). A simulation model is built up by Timed-Colored-Petri-Net (TCPN), used to evaluate the QC waiting time of storage plans. Two optimization approaches, based on Particle Swarm Optimization (PSO) and Genetic Algorithm (GA), are proposed to form the complete simulation-based optimization method. Effectiveness of this method is verified by experiment, as the comparison of the two optimization approaches. © 2015 Ning Zhao et al.</t>
  </si>
  <si>
    <t>10.1155/2015/548762</t>
  </si>
  <si>
    <t>Simulation-based optimization for storage allocation problem of outbound containers in automated container terminals</t>
  </si>
  <si>
    <t>This paper studies the effect of a handshake area on the performance of twin automated stacking cranes (ASCs) operating on top of a stack with transfer zones at both seaside and landside. The handshake area is a temporary storage location so that one crane can start a request and leave the container there for the other crane to complete the request. By testing settings with and without such a handshake area, the goal is to find robust rules which result in the best performance, measured as (1) the makespan to finish all requests and (2) the total waiting time of the cranes due to interference or nonconsecutive delivery of containers in the handshake area (blocking time). The effect of five decision variables on the performance are tested. The decision variables are (1) the way the requests are handled by the cranes (scheduling), (2) the storage location of the containers in the handshake area, (3) the location of the handshake area in the stack, (4) the size of the handshake area and (5) the number of handshake areas in the stack. For each decision variable, multiple heuristics are developed. The results indicate that settings without a handshake area outperform settings with a handshake area for virtually all instances tested when using the same scheduling heuristic. For both types of settings, the choice for a scheduling heuristic impacts the final performance the most. In this study, we opt for simple heuristics since container terminal operators prefer to avoid any complexity in coordinating and scheduling two ASCs for safety and simplicity reasons. © 2017 Elsevier B.V.</t>
  </si>
  <si>
    <t>Automated container terminals (ACTs) represent state-of-the-art facilities for container handling and are a current development trend. However, enhancing their operational efficiency while minimizing energy consumption remains a challenge. While metaheuristics are helpful in addressing container terminal problems, their capabilities are limited when used alone to tackle complex or integrated problems. Hybrid models can be more effective in facing these challenges. This research proposes a hybrid model, termed WOA + PSO, which combines the Whale Optimization Algorithm (WOA) and Particle Swarm Optimization (PSO) as a novel approach to address the integrated scheduling problem of automated quay cranes (AQCs), automated lift vehicles (ALVs), and automated stacking cranes (ASCs) in an ACT. Additionally, the WOA + PSO collaborates with a simulation model in a framework to become a simulation-based optimization approach. The performance of WOA + PSO is evaluated by comparing it with its base models, WOA and PSO, as well as a genetic algorithm (GA), through extensive experiments. The results show that WOA + PSO outperforms the others in achieving the objective of balancing operational efficiency and energy consumption. © 2024 Elsevier Ltd</t>
  </si>
  <si>
    <t>The increasing utilization of battery-powered automated guided vehicles in automated container terminals, has an important consequence on terminal cost and efficiency. How to tackle integrated vehicle charging and operation scheduling problem to maintain high terminal performance is prominent for sustainable port operation. In this paper, fast charging technology is investigated, and a mixed integer programming model for this complicated scheduling problem is constructed, which aims to reduce charging cost and penalty cost related to makespan, and includes sequence-related constraints, time-related constraints and energy-related constraints. A decomposition-iteration algorithm is proposed to solve this problem, and furthermore it is combined with a simulation-based optimization method to address practical-sized instances. Numerical experiments on real-world cases are conducted to verify the efficiency and effectiveness of the proposed solution algorithm. Insightful managerial implications are derived by comparative analysis on charging rules and charging facility locations, and sensitivity analysis on charging power, charging facility configuration and vehicle configuration. Experimental results provide valuable references for terminal managers to make configuration and scheduling decisions for battery-powered vehicle transporting systems. © 2023 Elsevier Ltd</t>
  </si>
  <si>
    <t>10.1016/j.tre.2023.103338</t>
  </si>
  <si>
    <t>A decomposition-based optimization method for integrated vehicle charging and operation scheduling in automated container terminals under fast charging technology</t>
  </si>
  <si>
    <t>Summary. The aim of the article was to study the impact of various real-life factors determining the container train loading process duration. Various strategies of the crane operation were considered. Among the factors influencing the train loading duration, railcar hitching pin configuration, container weight, railcar capacity, and arrangement of containers in the storage yard were considered. The FlexSim simulation model of the container terminal was developed, covering the storage yard and the railway track. The analysis shows that the number of containers collected directly from the storage yard has the greatest impact on the train loading duration. © 2024 Silesian University of Technology. All rights reserved.</t>
  </si>
  <si>
    <t>REF_127</t>
  </si>
  <si>
    <t>A case study of using simulation to support the road planning of a large container terminal yard in China is presented, which demonstrates the method and procedures of combining discrete event simulation technology with road traffic capacity theory to assist road planning of container terminal yard. The architecture, components and processes of the model are discussed. Through simulation experiments, the peak traffic flow data were obtained. Based on the experiment data and analysis of the road traffic capacity, we can evaluate the reasonableness of the road planning and make recommendations for improvement. © 2010 IEEE.</t>
  </si>
  <si>
    <t>10.1109/ICMSS.2010.5578509</t>
  </si>
  <si>
    <t>2010 International Conference on Management and Service Science, MASS 2010</t>
  </si>
  <si>
    <t>Traffic flow simulation of container terminal yard</t>
  </si>
  <si>
    <t>REF_126</t>
  </si>
  <si>
    <t>This paper explores the effect of entrance channel dimensions on berth occupancy of a container terminal when making master planning for a new container terminal, to avoid possible bottlenecks for port's future performance. Therefore, a process-interaction-based simulation model is first developed to simulate container terminal operation, especially ship operation in entrance channel. Then a series of simulation experiments are conducted, in which dozens of container terminals with different numbers of berths and channel dimensions are considered to reproduce the microscopic, stochastic, real-time environment. Finally, simulation results show that the berth occupancy depends on entrance channel dimensions, and more berths, two-way traffic channel and less travel time in channel have higher berth occupancy given the same port service level. So that the effect of entrance channel dimensions, especially very long one-way traffic channels, on berth occupancy should be quantified when determining berth capacities at the master planning stage. Moreover, the analysis and simulation model presented in this paper may help port authorities and the planners to achieve a harmonized overall design in practice. © 2016 Elsevier Ltd.All rights reserved.</t>
  </si>
  <si>
    <t>10.1016/j.oceaneng.2016.03.047</t>
  </si>
  <si>
    <t>Effect of entrance channel dimensions on berth occupancy of container terminals</t>
  </si>
  <si>
    <t>This paper introduces an approach for generating scenarios of sea port container terminals. The scenarios can be used as input data for simulation models. Furthermore, they can be employed as test data for algorithms to solve optimization problems in container terminal logistics such as berth planning and crane scheduling. A scenario consists of arrivals of deep sea vessels, feeder ships, trains, and trucks together with lists of containers to be loaded and unloaded. Moreover, container attributes such as size, empty, reefer, weight, and destination are included. The generator is based on a large number of parameters that allow the user to produce realistic scenarios of any size. The purpose of this paper is to outline the parameters that are important to produce realistic scenarios of high practical relevance and to propose an algorithm that computes scenarios on the basis of these parameters. The generator discussed here has been developed within the simulation project at the HHLA Container-Terminal Altenwerder in Hamburg, Germany. Nevertheless, its structure is general enough to be applied to any other terminal as well. © Springer-Verlag 2004.</t>
  </si>
  <si>
    <t>10.1007/s00291-003-0150-6</t>
  </si>
  <si>
    <t>REF_124</t>
  </si>
  <si>
    <t>Yard layout is an important component of the port yard allocation decision which affects the cargo storage capacity and through capacity for the port yard. As to the general cargo yard, combined with the cargo type and the yard storage strategy, the yard layout optimization model for the general cargo terminal is presented based on the statistical analysis for the production data when the optimization aim is minimizing the total horizontal transport distance of the trailer. The yard layout optimization results are employed by the mathematical tool Gurobi for different storage strategies, and the yard layout optimization results are verified and analyzed by the general cargo terminal operation simulation model. The yard layout optimization simulation results of three different storage strategy methods show that compared with the practical production data, the arrival cargo quantities at port are respectively improved 4.34%, 2.96% and 3.44%, and depart cargo quantities from port are respectively improved 1.61%, 0.02% and 1.21%. The research results indicate that the yard layout optimization results can improve the handling capacity and the through capacity of the terminal. © 2021, The Editorial Board of Journal of System Simulation. All right reserved.</t>
  </si>
  <si>
    <t>10.16182/j.issn1004731x.joss.20-0138</t>
  </si>
  <si>
    <t>Yard Layout Optimization for General Cargo Terminal; [件杂货码头堆场布局优化研究]</t>
  </si>
  <si>
    <t>REF_123</t>
  </si>
  <si>
    <t>The growth of marine containers transportation along with increasing complex container terminal logistic system (CTLS) has called for more effective approaches for scheduling container terminal resources. This paper discusses the problem of scheduling quay crane, yard crane and container truck for improving the container terminal productivity. One dynamic scheduling method and specific heuristic scheduling rules for dynamically assigning quay crane, yard crane and container trucks are proposed according to stowage plans and storage plans. A simulation model of a container terminal in Shanghai is built by the application of WITNESS2002, a simulation software package, to evaluate the efficiency of the dynamic scheduling method. From simulation results, the production efficiency increased about 8% by the dynamic scheduling method than static one previously discussed in CTLS.</t>
  </si>
  <si>
    <t>10.1080/02286203.2008.11442494</t>
  </si>
  <si>
    <t>Simulation studies of heuristic approaches for dynamic scheduling of container terminal operations</t>
  </si>
  <si>
    <t>REF_122</t>
  </si>
  <si>
    <t>Path finding for human-operated vehicles in a maritime container terminal can be very demanding, especially when pursued under dynamic traffic conditions and based on decisions that are self-governing. Preventing collision and interference among internal transfer vehicles is a major task for operations managers in organizing container transfers from the quay to the yard at minimal congestion. To this matter, we propose a novel simulation framework as an effective tool for managing conflicting goals among straddle carrier (SC) drivers. The framework embeds both local and global search strategies that are used to determine the best path between any two vertices of the grid-like transfer network. Furthermore, it also allows to make path finding decisions based on either dynamic or static data. Numerical experiments prove the effectiveness of this informed simulation-based approach. Specifically, when critical extraordinary events arise and force, for instance, SCs to cover greater distances during container transfer, the difference in performance achieved by using the local/global path finding strategy in conjunction with static/dynamic data becomes more significant. © 2023 Elsevier B.V.</t>
  </si>
  <si>
    <t>10.1016/j.simpat.2023.102752</t>
  </si>
  <si>
    <t>Informed simulation for dynamic path finding in human-operated container terminals</t>
  </si>
  <si>
    <t>An overview of relevant literature is conducted on research focusing on the applicability of simulation modeling approach in the solution of port container terminals' decision problems. The container terminals' decision problems have been dominantly addressed by Operational Research discipline based on its two main approaches math modeling and simulation. Extensive container terminals' research has been addressed by using Discrete -Event Simulation, but the literature review suggests that Agent-Based Modeling and Simulation is now emerging as a more suitable approach for studying operations container terminals, but this still needs to be verified by more deployed systems. A general conclusion from our study is that is necessary to increment the use of Agent-Based Modeling and Simulation tools in the container terminals modeling to provide more adequacies in the modeling and simulation activity. © 2012 SIMULATION COUNCILS, INC.</t>
  </si>
  <si>
    <t>Proceedings of the 2012 - Summer Computer Simulation Conference, SCSC 2012, Part of SummerSim 2012 Multiconference</t>
  </si>
  <si>
    <t>Simulation modeling approach to maritime container terminals: A state-of-the-art review</t>
  </si>
  <si>
    <t>REF_120</t>
  </si>
  <si>
    <t>We study the problem of dynamic partitioning of the workload of yard cranes in a container terminal with the objective of expediting their service to the container-carrying vehicles, which in turn helps to reduce the vessel turnaround time. Because the workload distribution in the container storage yard changes dynamically, we propose to periodically divide container yard blocks into non-overlapping zones for cranes allocated to the yard blocks, then allocate each non-overlapping zone to a distinct crane. The non-overlapping zones are separated by a safety distance so the crane clash problem and the resulting delays in operations are eliminated. To obtain the optimal partitions for each planning period, we use real time data driven simulation to estimate the dynamic workload of each yard crane in the proposed yard crane workload partition algorithms. Our experimental results show that our partition scheme is indeed able to substantially reduce vehicle waiting time.</t>
  </si>
  <si>
    <t>Spring Simulation Multiconference 2009 - Co-located with the 2009 SISO Spring Simulation Interoperability Workshop</t>
  </si>
  <si>
    <t>Simulation-based dynamic partitioning of yard crane workload for container terminal operations</t>
  </si>
  <si>
    <t>REF_119</t>
  </si>
  <si>
    <t>The correct sizing of storage areas in the port areas is aimed to optimizing the management of intermodal transport and to ensure efficiency and functionality to the entire port system. In this paper is proposed a simulation model for design the port storage areas taking into account many parameters like: the service time, the randomness of the arrivals process, the storage capacity in terms of TEU that can be stored (and handled) in the unit of time. The capacity of the terminal warehouse is determined by the interrelation between fixed and static parameters in the short period which are: i) the extension of the storage area; ii) the height of the overlapping batteries of container (defined also like number of "shooting"); iii) the means of movements; iv) a series of parameters that can vary the efficiency degree according to the operativity conditions of the terminal. The optimal level of use is achieved when it is employed approximately the 60-65% of the maximum storage capacity; it is kept in account, therefore, a tolerance necessary in order to make forehead to eventual peaks of traffic. © 2006-2013 Asian Research Publishing Network (ARPN).</t>
  </si>
  <si>
    <t>ARPN Journal of Engineering and Applied Sciences</t>
  </si>
  <si>
    <t>The design of waiting and storage areas to improve the efficiency of the marine intermodal terminals</t>
  </si>
  <si>
    <t>REF_118</t>
  </si>
  <si>
    <t>Significant unproductive and costly waiting occurs during AGV (Automated Guided Vehicle) use, both under the CC (Container Crane) and in the blocks compared to that of a manual yard tractor. A possible solution to this problem is that, in the design of ACT (Automated Container Terminals), ALV (Automated Lifting Vehicles), which can load and unload their own containers, be considered as an alternative. In this paper, the objective is to analyze how increases in the use of ALVs rather than AGVs affects the productivity of ACTs. We derived four inferences regarding the cycle time of vehicles and verified their validity in a simulation. A simulation model of an ACT with perpendicular layout was developed and is described in this paper. From the results of the simulation analysis, we determined the savings effect by cycle time and the required number of vehicles. We demonstrated that the ALV is superior to the AGV in both productivity and efficiency principally because the ALV eliminates the waiting time in the buffer zone. © 2005 Springer-Verlag Berlin Heidelberg.</t>
  </si>
  <si>
    <t>10.1007/3-540-26686-0_3</t>
  </si>
  <si>
    <t>REF_117</t>
  </si>
  <si>
    <t>The growths of containerization and transporting goods in containers have created many problems for ports, especially with the development of operation equipments produced by port machine manufacturer. A simulation study was proposed to a new container terminal handling technology, which is comprised of twin 40-foot quay cranes, a low bridge allocation system and twin 40-foot rail mounted gantry crane (RMG). The loading and unloading process was analysised and container terminal operation conditions are defined under this operation conditions. Based on event-driven and virtual reality technology, the handling technology simulation model was established. The operating efficiency of key equipments is calculated during the simulation. Finally, validation is presented through a case study. The method enriched the contents of container terminal handling technology simulation and laid the foundation for further study of automated container terminal. © 2010 ACADEMY PUBLISHER.</t>
  </si>
  <si>
    <t>10.4304/jcp.5.6.951-957</t>
  </si>
  <si>
    <t>Journal of Computers</t>
  </si>
  <si>
    <t>Modeling and simulation of automated container terminal operation</t>
  </si>
  <si>
    <t>REF_116</t>
  </si>
  <si>
    <t>By applying the object-oriented method of modeling and simulating for discrete-event simulation systems, this paper establishes a simulating model of integrated container terminal operating system involving vessels, anchorages, berths, gantry cranes, internal and external container trucks and gate system. To solve the block planning problem of container terminals, the simulation-based optimization (SBO) method is proposed, where the case retrieval method is introduced into the solving process, improving the problem of tedious computation. © 2016 IEEE.</t>
  </si>
  <si>
    <t>10.1109/CCDC.2016.7531084</t>
  </si>
  <si>
    <t>Proceedings of the 28th Chinese Control and Decision Conference, CCDC 2016</t>
  </si>
  <si>
    <t>The application of case-retrieval-based simulation optimization method on block planning of container terminals</t>
  </si>
  <si>
    <t>REF_115</t>
  </si>
  <si>
    <t>Marine Container Terminals (CT) are vital hubs in the global maritime logistics network. They act as the link between sea-borne and landside-based operations. Effective planning and execution of drayage operations remain paramount in optimizing resource usage and enhancing port efficiency. Congestion remains to be a serious challenge in and around the CT. This is primarily due to the unmanaged arrival of External Trucks (ETs), which eventually leads to the buildup of lengthy queues at the gates of the CT and yard area. As a result, it detrimentally impacts the average Truck Turnaround Time (TTT) and the overall port efficiency. In response to the aforementioned challenge, this study seeks to develop a simulation model of a Truck Appointment System (TAS) that leverages a dual transactions approach to effectively mitigate congestion and further reduce the number of empty truck trips while performing pick-up or drop-off tasks. The outcomes of the study will be beneficial to both terminal managers and Trucking Companies (TCs). Firstly, port managers will be able to match the available yard resources with the requested appointments in advance to eliminate gate and yard queues and reduce waiting times. Consequently, trucks are expected to arrive at the terminal at the stipulated times to perform specific tasks. Secondly, the drayage operators are expected to improve the utilization of their trucks since the dual transactions approach allows truckers to drop off and pick up a container in a single trip, thus cutting down on empty truck trips © 2024, Academy Publishing Center, Arab Academy for Science, Technology and Maritime Transport. All rights reserved.</t>
  </si>
  <si>
    <t>International Maritime Transport and Logistics Conference</t>
  </si>
  <si>
    <t>DISCRETE EVENT SIMULATION OF TRUCK APPOINTMENT SYSTEMS IN CONTAINER TERMINALS: A DUAL TRANSACTIONS APPROACH</t>
  </si>
  <si>
    <t>REF_114</t>
  </si>
  <si>
    <t>In this paper, the spotlight is directed towards studying the handling capacity of pure Ro-Ro terminals, especially the new terminal of Norvik port. To this end, a simulation model based on a distributed architecture is built to assess the handling capacity under different flow scenarios with a particular focus on the trailer flow and export-lorry flow the terminal can handle in terms of resource availability, trailer-dwell times and management rules. This helped to determine the number of resources required to evacuate smoothly the incoming flows and to identify where potential bottlenecks happen the most inside the terminal. The established model is verified then validated by experts to conduct properly the experiment study where the model is fed with empirical data provided by terminal authorities. This experiment showed that the terminal can handle flows of which trailers do not exceed 17% and the export fraction of lorries is at most 42%. © 2022 The Authors</t>
  </si>
  <si>
    <t>10.1016/j.simpat.2022.102513</t>
  </si>
  <si>
    <t>Exploiting simulation model potential in investigating handling capacity of Ro-Ro terminals: The case study of Norvik seaport</t>
  </si>
  <si>
    <t>In this paper we show how timed Petri nets can be efficiently used to solve problems related to resource planning in intermodal freight transport terminals. In particular, the tackled issues regard the strategic planning of the number of facilities used to transfer the intermodal transport units and the capacity/frequency of the transportation means. A real case study is considered, namely a rail-road terminal located in southern Italy. Monte Carlo simulations based on the timed Petri net model of the terminal are carried out considering various scenarios, including both the regular behavior based on real data, and situations of potential congestion resulting from increase in the commercial flows. © 2016 IEEE.</t>
  </si>
  <si>
    <t>10.1109/WODES.2016.7497824</t>
  </si>
  <si>
    <t>2016 13th International Workshop on Discrete Event Systems, WODES 2016</t>
  </si>
  <si>
    <t>Resource planning of intermodal terminals using timed Petri nets</t>
  </si>
  <si>
    <t>REF_112</t>
  </si>
  <si>
    <t>Intelligent logistical systems are crucial for adapting to technological advancements and global supply chains, particularly at seaports. Automation can maximize port efficiency and adapt to changing circumstances, but port digitalisation is challenging due to the various parties and information flows involved. The port of Sines in Portugal is undergoing a digital transformation, specifically about the Smart Gate concept. The port administration and partners have developed a pre-gate, which is being examined for operations, technologies, and information models. This work uses simulation to analyse the pre-gate model dynamically. The discrete-event simulation model, using Anylogic software (version 8.9.0), forecasts possible problems and predicts pre-gate behaviour, facilitating ongoing enhancement of pre-gate procedures. The considered scenarios vary in two factors: the processing time at the bottleneck process and the number of active lanes at the same point. Four of the twenty tested alternatives were identified as balanced. Results allow drawing conclusions on the number of lanes to be open to prevent congestion, particularly when processing times increase. The study highlights the benefits of simulating complex systems to improve operations. Future work could involve adjusting parameters, incorporating advanced optimisation techniques, and expanding evaluated metrics. The ultimate goal is to develop a reliable digital twin for the port. © 2024 by the authors.</t>
  </si>
  <si>
    <t>10.4028/www.scientific.net/AMR.945-949.2907</t>
  </si>
  <si>
    <t>System analysis and simulation modeling as the basis for unique design of port terminals for bulk handling</t>
  </si>
  <si>
    <t>REF_110</t>
  </si>
  <si>
    <t>Operators of busy container terminals need to periodically evaluate options for capacity expansion in order to meet the increasing demands for container handling at their terminals. When planning such capital intensive investments, it is important to find an efficient and effective way to design and evaluate various possible terminal layout and equipment configurations. The issue is further complicated for mega-sized container terminals which consist of multiple berths and yards due to pre-existing geological conditions. This paper proposes an integrated simulation framework to facilitate the design and evaluation of mega container terminal configurations with integrated multiple berths and yards. There are two major components in this framework: a geographical information system (GIS) and a multi-agent system (MAS). The former is used to design specific terminal configurations which can be then simulated and evaluated by the latter. An application of the framework to a real container terminal expansion problem demonstrates the validity of the framework. Results obtained from simulation models generated efficiently by the framework are used to help terminal planners make reasonable decisions. © 2013 The Society for Modeling and Simulation International.</t>
  </si>
  <si>
    <t>10.1177/0037549712475097</t>
  </si>
  <si>
    <t>Design and evaluation of mega container terminal configurations: An integrated simulation framework</t>
  </si>
  <si>
    <t>REF_109</t>
  </si>
  <si>
    <t>In the study of mechanical configuration problem of automated container terminal, a system simulation model based on discrete event simulation is constructed. The key parameters and interference factors that affect the performance of the system are fully considered in the model and a mechanical scheduling algorithm interface to ensure the effectiveness of the simulation model is designed. On the premise of ensuring the reliability of the container terminal system, a cycle optimization method of mechanical configuration scheme is proposed to minimize the cost. An example is given to solve the mechanical configuration scheme of an automatic container terminal. The results show that the method based on discrete event simulation and cyclic optimization can solve the optimization scheme of mechanical configuration and guarantee the computational efficiency. © 2019, The Editorial Board of Journal of System Simulation. All right reserved.</t>
  </si>
  <si>
    <t>10.16182/j.issn1004731x.joss.19-FZ0335</t>
  </si>
  <si>
    <t>Research on Mechanical Configuration of Automatic Container Terminals Based on Simulation Optimization Method; [自动化集装箱码头机械配置仿真优化研究]</t>
  </si>
  <si>
    <t>REF_108</t>
  </si>
  <si>
    <t>Due to globalization and the growth of international trade, many container terminals are trying to improve performance in order to keep up with demand. One technology that has been proposed is the use of Automated Guided Vehicles (AGVs) in the handling of containers within terminals. Recently, a new generation of AGVs has been developed which makes use of cassettes that can be detached from the AGV. We have developed an agent-based simulator for evaluating the cassette-based system and comparing it to a more traditional AGV system. In addition, a number of different configurations of container terminal equipment, e.g., number of AGVs and cassettes, have been studied in order to find the most efficient configuration. The simulation results suggest that there are configurations in which the cassette-based system is more cost efficient than a traditional AGV system, as well as confirming that multi agent based simulation is a promising approach to this type of applications.</t>
  </si>
  <si>
    <t>10.1007/978-3-642-01991-3_13</t>
  </si>
  <si>
    <t>Evaluation of automated guided vehicle systems for container terminals using multi agent based simulation</t>
  </si>
  <si>
    <t>REF_107</t>
  </si>
  <si>
    <t>Automated guided vehicle (AGV) is one of the main equipment for horizontal transportation in automated container terminals, and the optimization of AGV scheduling has become increasingly important. Existing scheduling systems tend to make decisions based on deterministic conditions, ignoring the dynamic changes and uncertainties of the terminal environment, such as the arrival of random tasks during AGV operations. In addition, the battery swapping process is neglected in most AGV scheduling studies, yet it is crucial to ensure the operation of AGVs. In this paper, we construct a two-stage stochastic programming model for the joint scheduling problem of battery swapping and task operation with random tasks. A double-threshold constraint for battery swapping decision-making is adopted. The results show that the double-threshold strategy is better for AGV utilization than the single-threshold one. Upon the solution method, a simulation-based ant colony optimization algorithm is proposed. Sample average approximation is used to calculate the expected cost, and two local search procedures are introduced to improve the quality of the solutions. In the cases of multiple instances and several random task samples with different arrival rates, our method was compared with three practical policies under a deterministic model. Computational results show that the scheduling scheme considering random tasks in advance is more robust and stable. © 2023 Elsevier Ltd</t>
  </si>
  <si>
    <t>10.1016/j.tre.2023.103110</t>
  </si>
  <si>
    <t>A Two-stage Stochastic Programming for AGV scheduling with random tasks and battery swapping in automated container terminals</t>
  </si>
  <si>
    <t>System resilience denotes the capacity to uphold desired system performance in the face of disruptions. Evaluating the resilience of a process system necessitates a thorough consideration of the intricate interplay between its components and the pivotal role of process parameters in reflecting the repercussions of disruptions on the system. This paper introduces an integrated methodology that takes into account component interactions and leverages process data for the resilience assessment of a process system. The proposed methodology comprises four key components: system structure analysis, disruption impacts analysis, process simulation, and resilience assessment. Firstly, the system structure is meticulously scrutinized using a P-graph model. This analysis encompasses the assessment of the significance and interplay of components, as well as the evaluation of how component failures affect the system's overall processes. Secondly, a Markov model is devised to examine the state transition process of components and quantifies the maintenance time needed for failed components. Subsequently, a simulation model is formulated to acquire real-time process parameters in the presence of disruptive events. Finally, the system's performance response function (PRF) is derived from the normalization of these process parameters. Building upon this foundation, a resilience assessment is conducted with a focus on the PRF. To illustrate the effectiveness of this methodology, an LNG terminal system is employed as an exemplar. © 2024 Elsevier Ltd</t>
  </si>
  <si>
    <t>Reliability Engineering and System Safety</t>
  </si>
  <si>
    <t>The logistics system of container terminals involves many transport resources and processes, and simulation models can help decision makers optimize management systems and improve decision-making. To improve the productivity of container terminals, the shortcomings of scale optimization and static design of the traditional container terminal logistics system are improved. The study constructs a simulation model of a logistics system based on multi-scale information theory and introduces a queuing network to analyze the internal logic characteristics of different parts of the system. Meanwhile, an improved bat algorithm is introduced to design the dynamic scheduling scheme for the berth scheduling problem in the container terminal logistics system. The simulation results showed that the improved algorithm tended to be stable when the number of iterations reached 160 times. The allocation under the improved berth scheduling system showed good uniformity in time and space, and the cost of unit deviation was less than 3,000 RMB. The container terminal logistics system designed in this study can improve logistics efficiency, reduce transportation costs, and meet the transportation needs of loading and unloading ships and vehicles. © INTERNATIONAL JOURNAL OF INDUSTRIAL ENGINEERING.</t>
  </si>
  <si>
    <t>REF_104</t>
  </si>
  <si>
    <t>Container terminal operators are under pressure to handle the increasing amount of container transfer in the global transportation network. To manage the growth, new container terminals are built or the capacity of existing ones is expanded using modern container handling technologies as well as automatic equipment. An efficient layout of the container terminal is crucial to obtain the maximum capacity. In this paper we present an approach based on a mixed integer linear model to find promising layout configurations for container terminals. Means of simulation are used to validate and evaluate the attained layout configuration. In addition the adequacy of the mixed integer linear model for planning layouts of container terminals is evaluated using the developed simulation model. Copyright © (2008) by CAL-TEK S.r.l.</t>
  </si>
  <si>
    <t>REF_103</t>
  </si>
  <si>
    <t>The yard operation plays an important role in the daily running of a container terminal. Whether the efficiency of a terminal can be improved depends to a significant extent on the operation of its container yard. In order to analyze the yard operation, this paper builds a 3D simulation model to simulate and visualize the yard operation in a container terminal. First, we study the characteristics of yard layout and present the logical model of container yard operation with rubber-tired gantry cranes and trucks. Then, a 3D simulation model of yard operation is implemented, which includes model setup module, container terminal layout module, horizontal transport module, yard operation module, statistics analysis module, and 3D amination module. Finally, the implemented model is applied in practice to examine the impact of reshuffle operation, and the numbers of internal trucks and yard cranes on the efficiency of yard operation. And the results show the proposed simulation model performs well and is helpful for exploring yard operation effectively. © ECMS Thorsten Claus, Frank Herrmann, Michael Manitz, Oliver Rose (Editors).</t>
  </si>
  <si>
    <t>10.7148/2016-0087</t>
  </si>
  <si>
    <t>3D simulation modeling of yard operation in a container terminal</t>
  </si>
  <si>
    <t>REF_102</t>
  </si>
  <si>
    <t>This research aims to analyze waiting times and operational efficiency in the loading and unloading process at the New Makassar Container Terminal (Terminal 1) using the Headtruck (HT) discrete simulation model. The focus of this research is to identify the duration of waiting time for trucks and find solutions to reduce the queues that occur. The method used in this research is discrete simulation, where a simulation model is applied to map the truck queuing process at Stacking Yards I and K. The data used includes HT travel time, RTG (Rubber-Tyred Gantry) and RS (Reach Stacker) service times., as well as the current operational conditions of the terminal. The findings from this research show that the average waiting time for trucks at Stacking Field I reached 84.03 minutes. By implementing the scenario of adding 1 Reach Stacker unit, the waiting time was successfully reduced to 2.69 minutes, which resulted in a reduction in fuel costs of IDR. 5.22 million per day. Apart from that, the HT handling capacity has also increased, with the Stacking Field I block capable of handling 32 HT per day, higher than the previous condition. These results indicate that additional equipment can increase terminal operational efficiency. The conclusion of this research is that the application of discrete simulation models in waiting time analysis can provide an effective solution to improve operational performance at the New Makassar Container Terminal. The addition of the Reach Stacker tool has been proven to reduce waiting time and fuel costs, as well as increasing HT handling capacity. This research also provides recommendations for further research using other simulation software and considering external factors that influence terminal operations. © 2025, Cises srl. All rights reserved.</t>
  </si>
  <si>
    <t>TPM - Testing, Psychometrics, Methodology in Applied Psychology</t>
  </si>
  <si>
    <t>ANALYSIS OF WAITING TIME AND OPERATIONAL EFFICIENCY OF LOADING AND UNLOADING AT THE NEW MAKASSAR CONTAINER TERMINAL USING DISCRETE HEADTRUCK SIMULATION</t>
  </si>
  <si>
    <t>REF_100</t>
  </si>
  <si>
    <t>Terminals constitute the factual interface between different modes and, as a result, buffer stocks are unavoidable whenever transport flows with different discontinuities meet. This is the reason why assessing materials handling and storage capacities is an important issue in the course of attempting to increase operative planning of logistic processes in terminals. Proposed paper starts with a brief review of the compatibilities between different sorts of materials and corresponding transport modes and after, a literature overview of the studies related to ports terminals and their specialization is made. As a methodology, discrete event simulation stands as a feasible technique for assessing handling and storage capacities at the terminal, taking into consideration the multi-flows interaction and the non-uniform arrivals of vessels and inland vehicles. In this context, a simulation model, that integrates the activities of an inland water terminal and describes the essential interactions between the subsystems which influence the terminal capacity, is developed. Different scenarios are simulated for diverse sorts of materials, leading to bottlenecks identification, performance indicators such as average storage occupancy rate, average dwell or transit times estimations, and their evolution is analysed in order to improve the transfer operations in the logistic process. © Published under licence by IOP Publishing Ltd.</t>
  </si>
  <si>
    <t>10.1088/1757-899X/227/1/012039</t>
  </si>
  <si>
    <t>Assessing materials handling and storage capacities in port terminals</t>
  </si>
  <si>
    <t>REF_099</t>
  </si>
  <si>
    <t>Container terminals (CTs) play a crucial role within the global supply chain in the context of the global container transportation business. The primary obligation associated with these terminals involves ensuring the punctual execution of primary vessel operations, while strictly adhering to the Estimated Time of Departure (ETD) for vessels. To accomplish this goal, it is crucial to develop rigorous and exact operating strategies. Nonetheless, the accurate prediction of operation times in CT presents a significant challenge due to the concurrent involvement of various Container Handling Equipment (CHE) and the occurrence of unforeseen situations. To address this issue, this study proposes a novel approach called Predictive Discrete Event Simulation (PDES) that utilizes data collected from CT to predict the operation times. The PDES is an advanced approach that builds upon the widely used Discrete Event Simulation (DES) technique in the field of simulations. It is specifically designed to provide precise predictions of the operation times in CTs, where multiple events take place concurrently. The PDES in this paper aims to overcome the shortcomings of current simulation-based approaches for prediction in CT. These approaches often rely on predefined task sequences and assumed time for job handling time of CHE in their scenarios, which can result in reduced accuracy when predicting operation times. Through the resolution of these issues, the proposed PDES exhibits the capacity to improve predictive performance. To enhance the predictive performance of operation times in CTs through PDES, two approaches are introduced. The first approach entails the application of Support Vector Machine (SVM) algorithms for the purpose of predicting operation times. This approach is further augmented by integrating it with DES to improve the accuracy of predictive performance. The second approach involves predicting by simulating real-world operational scenarios in CTs using algorithms for CHE assignment. The predictive performance of the proposed PDES is assessed through the utilization of data gathered from Busan Port Terminal (BPT) in South Korea, demonstrating superior performance compared to alternative prediction approaches.  © 2013 IEEE.</t>
  </si>
  <si>
    <t>A simulation model of the flow of intermodal terminal units (ITUs) among and within inland intermodal terminals is presented. The intermodal terminals are interconnected by rail corridors. Each terminal serves a user catchment area via a road network. The terminal is modelled as a set of platforms, which are served by a number of gantry cranes and front lifters. The user of the simulation model defines the structure of the terminal and the train and truck arrival scenarios. The train arrivals are defined in a train timetable, while the patterns of truck arrivals for ITU delivery and pick-up can be either statistically modelled or given as a deterministic input. The simulator can be used to simulate both a single terminal and a rail network, that is, two or more interconnected terminals. During the simulation, various statistics are gathered to assess the performance of the terminal equipment, the ITU residence time, and the terminal throughput. The simulation software has been implemented as a discrete-event simulation model, using MODSIM III as development tool. The simulator tool has been developed as part of the Platform project, funded by the Directorate General VII of the European Community. © 2002 IMACS. Published by Elsevier Science B.V. All rights reserved.</t>
  </si>
  <si>
    <t>10.1016/S0378-4754(01)00393-7</t>
  </si>
  <si>
    <t>Mathematics and Computers in Simulation</t>
  </si>
  <si>
    <t>A simulation tool for combined rail/road transport in intermodal terminals</t>
  </si>
  <si>
    <t>REF_097</t>
  </si>
  <si>
    <t>Container terminal capacity is often limited by (in)efficiency bottlenecks. This paper provides the design and proof of concept for the bottleneck mitigation cycle (BMC), consisting of three steps: bottleneck classification, detection and alleviation. While, often, the literature only focuses on alleviation of a single bottleneck and ignores bottleneck detection and interdependencies, this research uses the shifting bottleneck method and thereby considers a variety of possible infrastructural and operational bottlenecks. An empirical approach is adopted to find the cause of the detected bottleneck and to suggest suitable alleviation measures. Application of the BMC to a simulation model of the Fergusson Container Terminal in the Port of Auckland resulted in productivity improvements of 2–6%. To further improve the BMC, future research directions are to improve the empirical approach used for bottleneck alleviation and to apply the BMC in real-time. © 2022, The Author(s), under exclusive licence to Springer Nature Limited.</t>
  </si>
  <si>
    <t>10.1057/s41278-022-00245-7</t>
  </si>
  <si>
    <t>Performance improvements in container terminals through the bottleneck mitigation cycle</t>
  </si>
  <si>
    <t>REF_096</t>
  </si>
  <si>
    <t>To address the challenge of visualizing real-time scheduling in the traditional mathematical model of Automatic Guided Vehicle (AGV) scheduling within automated container terminals and, the difficulty in enhancing scheduling strategy efficiency in simulation models, this study explores the interaction path method between deep reinforcement learning algorithms and the AnyLogic automated container terminal simulation model, leveraging established simulation and operation planning models. Subsequently, this study leverages the AGV operations data of an automated container terminal import box simulation model to train the network model of the deep-reinforcement learning algorithm under the condition of low task generation rate, and loads it into the simulation model of the high task and low task generation rate to realize efficient scheduling of AGV in the model. This approach effectively overcomes the bottleneck of improving strategy efficiency within the AnyLogic system and the limitations associated with using the CPLEX tool to solve operation planning mathematical models outside the system, which encounter difficulties in handling large-scale data and complex solving processes. Experimental results demonstrate that compared to strategies with the best performance defined in the AnyLogic system and those solved by CPLEX outside the system, the efficiency of deep-reinforcement learning DDQN algorithms in AGV operations scheduling in front of storage yard of simulation models with low task generation rates is improved by an average of 522 and 1 604 s, respectively. In the high task generation rate of the automated terminal simulation model, AGV operations scheduling in both the front and back yards is improved by an average of 3 000 s compared to custom strategies within the system. The interaction path method between deep-reinforcement learning algorithms and the AnyLogic simulation model not only enables visual real-time dynamic scheduling but also enhances the efficiency of AGV operations scheduling and the overall effectiveness of the automated container terminal sim ulation model. © 2024 Southwest Jiaotong University. All rights reserved.</t>
  </si>
  <si>
    <t>10.19961/j.cnki.1672-4747.2024.04.005</t>
  </si>
  <si>
    <t>Journal of Transportation Engineering and Information</t>
  </si>
  <si>
    <t>Simulation and optimization of AGV operations scheduling at automated container terminals based on deep-reinforcement learning; [基于深度强化学习的自动化码头 AGV 调度仿真和优化]</t>
  </si>
  <si>
    <t>REF_095</t>
  </si>
  <si>
    <t>There is a lot of scientific papers that consider the efficiency of different container yard’s handling strategies. The methods of assessment vary from abstract mathematical calculations to aposterioric collection and analyses of practical data. This article deals with a new way of stacking strategy’s estimation. It postulates that investigations based on the extrapolation of existing strategies cannot be reliable due to rapid changes in terminals’ environment and restricted amount of data that can be collected within limited periods of the strategies’ application. The hypothesis of the study is that the only method that could provide robust comparative study of container stacking strategies is the simulation modelling. In the same time, any model is only a tool of analyses. The synthesis could be provided only by massive iterations of single simulation experiments with controlled searching procedure in the space of parameters. Consequently, the stress of the simulation study should be put not on the model itself, but on the way how to use it, i.e. on the experiments planning. Only a rationally constructed machine of simulation scenario generation could provide adequate and statistically reliable results. In order to demonstrate the importance of this ‘task setting’ machine, two example strategies are selected for comparison: (1) allocation of containers to slots with the minimum height and (2) stacking of containers in accordance with expected dwell time. It also shows that the objective function has a great impact on the optimal strategy implementation. In the study described in the paper the number of moves requested to select a container is opted as an optimization criterion. © 2020, Faculty of Navigation, Gdynia Maritime University. All rights reserved.</t>
  </si>
  <si>
    <t>10.12716/1001.14.04.08</t>
  </si>
  <si>
    <t>TransNav</t>
  </si>
  <si>
    <t>Planning simulation experiments in the tasks of studying the operational strategies of container terminals</t>
  </si>
  <si>
    <t>As the global container traffic continuously rises, container terminals are eager to improve their operation. To increase the efficiency and the service level of the landside containers’ pick-up operation, improving the yard cranes’ coordination schemes can be an option. In this study, we propose three schemes, (i.e. the market-based scheme, the zonal 1-1 scheme, and the zonal scheme 1-2 scheme) for coordinating multiple Rubber-Tyred Gantry (RTG) yard cranes. Using agent based simulation, we evaluate the performance of the proposed coordination alternatives by assessing the trucks’ waiting time, the RTGs’ utilization, and the RTGs’ fuel consumption values. © 2015</t>
  </si>
  <si>
    <t>10.1016/j.promfg.2015.11.022</t>
  </si>
  <si>
    <t>Yard Cranes Coordination Schemes for Automated Container Terminals: An Agent-based Approach</t>
  </si>
  <si>
    <t>REF_093</t>
  </si>
  <si>
    <t>In this paper, we consider the problem of truck configuration in a container terminal. A model is built using the Witness simulation software to simulate the process of a ship's handling and transportation. It is based on the reality of a large container terminal in China. The transportation network for container truck is reproduced in the model from the quay side to the container yard. Input data include the parameters in a generic format such as lengths of paths, quantity and speed of vehicles, the operation mode. Therefore, the model is adjustable to many situations. The paper analyzes the output results through running the model, and examines whether the quantity and the speed of the container trucks have influenced the handling time and how much it is. The study indicates that the quantity should be configured dynamically according to different stages of handling, and that raising the speed of the trucks would not necessarily improve the handling efficiency. The object-oriented method proves quite effective in developing the simulation model, resulting in a reliable and adjustable model. © 2006 IEEE.</t>
  </si>
  <si>
    <t>10.1109/WCICA.2006.1714278</t>
  </si>
  <si>
    <t>Proceedings of the World Congress on Intelligent Control and Automation (WCICA)</t>
  </si>
  <si>
    <t>REF_092</t>
  </si>
  <si>
    <t>Control of logistics operations at container terminals is an extremely complex task, especially if automated guided vehicles (AGVs) are employed. In AGV dispatching, the stochastic nature of the handling systems must be taken into account. For instance, handling times of quay and stacking cranes as well as release times of transportation orders are not exactly known in advance. We present a simulation study of AGV dispatching strategies in a seaport container terminal, where AGVs can be used in single or dual-carrier mode. The latter allows transporting two small-sized (20 ft) or one large-sized (40 ft) container at a time, while in single-mode only one container is loaded onto the AGV irrespective of the size of the container. In our investigation, a typical on-line dispatching strategy adopted from flexible manufacturing systems is compared with a more sophisticated, pattern-based off-line heuristic. The performance of the dispatching strategies is evaluated using a scalable simulation model. The design of the experimental study reflects conditions which are typical of a real automated terminal environment. Major experimental factors are the size of the terminal and the degree of stochastic variations. Results of the simulation study reveal that the pattern-based off-line heuristic proposed by the authors clearly outperforms its on-line counterpart. For the most realistic scenario investigated, a deviation from a lower bound of less than 5% is achieved when the dual-load capability of the AGVs is utilized. © 2007 Springer-Verlag Berlin Heidelberg.</t>
  </si>
  <si>
    <t>10.1007/978-3-540-49550-5_8</t>
  </si>
  <si>
    <t>REF_091</t>
  </si>
  <si>
    <t>The loading/unloading operation system is one of the most important compositions in the railway container terminal, and its high operation efficiency directly reflects transportation competitiveness between rail and other modes. Based on the discrete event simulation, combined with the event graphs, a simulation model on loading operation on departure train was built, which aimed to analyze the effect on the efficiency of loading/unloading machine with different number of transport vehicles under various operational modes. According to the simulation results, the model could provide a decision reference to managers planning of how to allocate the resource in the railway container terminal.</t>
  </si>
  <si>
    <t>Simulation study of loading/unloading operation on train in railway container terminal</t>
  </si>
  <si>
    <t>REF_090</t>
  </si>
  <si>
    <t>The storage areas from maritime container terminals have the role to allow the transfer of containers from maritime ships to inland transport and vice versa or from a maritime ship to another. The number of slots in storage area must be higher enough to not restrict the activity in terminal. In the case of containers loaded with dangerous goods, specifically rules must be applied in accordance with international maritime laws. Applying the security policies will enforce special conditions for storage of containers along with other containers or in a dedicated area for containers loaded with dangerous goods. All these measures lead to a limitation of the storage capacity inside the terminal. In the paper, the authors studying the influence of storage area design, in accordance with handling and storage restrictions of containers loaded with dangerous goods, on container terminal capacity. Taking into consideration the multi-flows interaction and the non-uniform arrivals of vessels and inland vehicles, discrete event simulation stands as a feasible technique for investigate terminal capacity for different organizational schemes of the storage area. The activities conducted inside of container terminal are represented using a logical model and implemented in ARENA software. A simulation model is developed and used to evaluate the variation of terminal activity's parameters. A set of input scenarios are developed to analyse and identify how to organize the activity in the terminal, namely how to segregate the containers within the storage area. The estimation of the general parameters of activity performance obtained through computer simulation helps the container terminal administration to choose an optimal use of storage area. © Published under licence by IOP Publishing Ltd.</t>
  </si>
  <si>
    <t>REF_089</t>
  </si>
  <si>
    <t>For reasonable use of inherent resources in the container terminal and improving the operating efficiency, the relationship of the "Operation-Flat" model between the truck configuration and terminals operating efficiency with it between truck configuration and truck blocked time is obtained through optimal traveling path of truck, which is calculated by scheduling optimization model. A reasonable truck configuration suggestion is designed to make the relationship between loading/unloading operating efficiency and the situation that wasting of resources reach the balance condition, which is acceptable.</t>
  </si>
  <si>
    <t>10.3963/j.issn.2095-3844.2014.01.015</t>
  </si>
  <si>
    <t>Configuring container truck optimization base on simulation model of "Operation-Flat" on container terminal</t>
  </si>
  <si>
    <t>REF_088</t>
  </si>
  <si>
    <t>With the aim of set up a handing process system for bulk terminal, this article uses simulation software, which is called Witness, then, analyses it in the terms of the assumptions, processes operating rules, abstraction and simplification of simulation and modeling, composition of modules and statistical performance parameters. Meanwhile, discusses the basic problems such as the simulation model's debug and the feasibility test, builds a simulation model about terminal handling technology system.</t>
  </si>
  <si>
    <t>10.3963/j.issn.1671-4431.2011.12.013</t>
  </si>
  <si>
    <t>Wuhan Ligong Daxue Xuebao/Journal of Wuhan University of Technology</t>
  </si>
  <si>
    <t>Research on simulation analysis and modeling for bulk terminal's handing process system</t>
  </si>
  <si>
    <t>REF_087</t>
  </si>
  <si>
    <t>Truck appointment system (TAS) is used to regulate the number of trucks that can enter the terminal. However, because of the limited number of quotas, TAS is incompetent to fully meet all requirements of time window for individual truckers. In order to avoid the limitation of TAS, a simulation-based truck appointment mechanism named 'interactive appointment system (IAS)' was proposed with the purpose of balancing truck arrival peak and reducing truck turnaround time. IAS allows the trucker to get the estimated truck turnaround time over his preferred arrival time interval when making an appointment application. This can assist him to choose a reasonable appointment arrival time. Moreover, a discrete event simulation model was formulated to estimate truck turnaround time, through describing the tri-stage queuing system (gate-parking lot-yard) of terminals, with considering the interference of block occupying brought by ship discharging/loading operations. Results of a series of experiments demonstrate the effectiveness and robustness of IAS on alleviating congestion inside/outside terminal and decreasing truck turnaround time. In addition, how the parking quantity of parking lot influences the efficiency of terminal queuing system was also discussed in this study. © 2022 Inderscience Enterprises Ltd.</t>
  </si>
  <si>
    <t>International Journal of Shipping and Transport Logistics</t>
  </si>
  <si>
    <t>REF_086</t>
  </si>
  <si>
    <t>The simulation modelling of shore- and sea-side port operations constitutes a fundamental prerequisite for effective project planning in port development, as the influence of numerous often interactive parameters has to be addressed at an early stage to account for the optimum supply of port facilities and services to current and future demand. This paper presents a detailed review of the available research literature on the application of simulation models in port development, through extensive reference to published journal papers from the onset of the relevant simulation modelling and through the course of the past 54 years (1961–2015). With focus on container terminals, this review aims at analysing the use of port related simulation models and ultimately at assessing their contribution into building the research knowledge necessary to promote sustainable ship-port interfaces and freight transport chains. It was found that over the past 50 years the use of simulation models has been increasingly favoured and instrumental in the development of ports and more specifically of container terminals. Most of the research literature addresses operational issues, accounting for its highest concentration and coherence in the research field of operations research, although the need to utilise the wide-ranging capabilities of simulation modelling in order to offer integrated solutions is recently promoting the dissemination of the relevant literature through sector-specific (i.e. transport and maritime) research fields. Finally, the observed tendency to employ simulation tools which offer the most realistic results reflects the research effort to ensure that simulation modelling offers tangible solutions to the maritime and transport industry. © 2016, Springer Science+Business Media New York.</t>
  </si>
  <si>
    <t>10.1007/s10696-016-9239-5</t>
  </si>
  <si>
    <t>Simulation modelling in ports and container terminals: literature overview and analysis by research field, application area and tool</t>
  </si>
  <si>
    <t>REF_085</t>
  </si>
  <si>
    <t>10.1007/s35152-025-2060-2</t>
  </si>
  <si>
    <t>Wasser und Abfall</t>
  </si>
  <si>
    <t>Monitoring water tolerance of antifouling of the Wilhelmhaven 01 LNG Terminal; [überwachung der Gewässerverträglichkeit des Antifoulings des LNG-Terminals Wilhelmshaven 01]</t>
  </si>
  <si>
    <t>REF_084</t>
  </si>
  <si>
    <t>Marine terminal operations are complex, and evaluating changes is best done using a simulation tool that captures the dynamics and interactions of the system. We have developed a flexible and robust discrete-event simulation of a marine terminal that handles liquid cargo. We used this simulation to investigate proposed changes generated by a Six Sigma project to reduce congestion at the terminal. Our study provided quantitative data to base decisions on the expected operational and financial impact of the proposed changes. The simulation captured the important details of the system and increased the Six Sigma team's confidence in their recommendations. The modular architecture of the simulation allows for easy application of the simulation to different terminal simply by changing a few data tables. The structure of the simulation makes it easy for nonmodelers to use the tool to perform continuing studies.</t>
  </si>
  <si>
    <t>REF_083</t>
  </si>
  <si>
    <t>Recent trends on port performance improvement aims to coordinate logistics activities between intermodal transportation motivated by the congestion and inefficiencies generated at the gates of the terminals. Coordination is enabled when information is shared in a collaborative framework based on information technologies and redesign processes. Truck Appointment Systems represent a solution to reduce congestion and truck waiting times. However, the design and policies for implementation should consider the particular conditions of each terminal so as to obtain real benefits. In this paper we address the problem of developing policies for gate control in a Chilean Port Terminal based on Truck Appointment Systems. As a basis for our study several configurations based on booking levels are analyzed in an environment where the arrival of containers can vary significantly from day to day and on a seasonal basis. Efficient policies for gate control are then deducted from this analysis.</t>
  </si>
  <si>
    <t>22nd International Conference on Production Research, ICPR 2013</t>
  </si>
  <si>
    <t>A simulation-based approach for coordinating inland flows on a container terminal</t>
  </si>
  <si>
    <t>REF_082</t>
  </si>
  <si>
    <t>REF_081</t>
  </si>
  <si>
    <t>Container terminals play a crucial role in exporting and importing goods, where export and import containers are loaded and unloaded. Containers are usually loaded and unloaded with a dock crane. A quay crane is assigned at a container port in advance, considering a ship’s arrival schedule. However, allocating a quay crane is difficult owing to the limited number of quay cranes available and the need to consider the shipping timetable. In this study, by considering the schedule of each ship arriving from a container terminal, the number of unloaded containers for each ship, and the limited number of quay cranes, we conduct quay crane assignment through a simulation model to increase the productivity of a container terminal. Alongside, it is evident that artificial intelligence (AI) and machine learning (ML) are necessary for port management in many ways, from berth scheduling to quay allocation. In this study, we also investigate the applicability of ML and metaheuristic approaches in quay allocation problems and explore further possibilities. In this study, we also highlight the sensor-based automation of quay allocation using Internet of Things (IoT) technologies for future research in the domain of port and terminal management. © MYU K.K.</t>
  </si>
  <si>
    <t>Sensors and Materials</t>
  </si>
  <si>
    <t>Brazil is one of the world's leading iron ore exporters, producing millions of tons annually. To transport ore, the country has specialized port terminals and logistical infrastructure designed specifically for export. The improvement of such systems remains a challenge and attracts substantial investment, generating a great synergy between companies and universities in the search for solutions. In this context, we present a case study involving a Brazilian terminal designed to handle iron ore, which must now import coal as well. The objective, therefore, is to analyze the effects of this new operation on the system's performance indicators. To evaluate and compare different scenarios, a discrete-event computational simulation model was built using the software Simul8. The results show that the new operation is viable, maintaining an 89% service level when handling three millions of tons per year of coal. © 2019 IEEE.</t>
  </si>
  <si>
    <t>10.1109/WSC40007.2019.9004793</t>
  </si>
  <si>
    <t>Estimating the Effect of Product Variety at a Brazilian Bulk Terminal</t>
  </si>
  <si>
    <t>REF_079</t>
  </si>
  <si>
    <t>On the basis of the traditional AGV's full-and-leave strategy, combined with a new type of horizontal transport vehicle ART (Artificial Intelligence Robot of Transportation), a dynamic schedu-ling strategy for charging piles was proposed. The strategy is divided into three parts: vehicle rota-tion, Push charging and Pull charging. Vehicle rotation strategy divides vehicles into working vehicles and non-working vehicles to manage. Push charging strategy is adopted when the power of the work-ing vehicle is lower than 30%, and Pull charging strategy is started when the power of the charged ve-hicle reaches the power threshold. The simulation software Anylogic was used to simulate the layout of charging piles under different charging scheduling strategies, and the actual performance of the dy-namic scheduling strategy of charging piles was verified. The results show that compared with the full-and-leave strategy, the dynamic charging strategy shortens the average queuing time of ART by 72%, reduces the occupancy rate of charging piles by 43%, and increases the overall power of the fleet by 3%, which has good practical application value. © 2023 Wuhan University of Technology. All rights reserved.</t>
  </si>
  <si>
    <t>10.3963/j.issn.2095-3844.2023.01.032</t>
  </si>
  <si>
    <t>Dynamic Scheduling Simulation Analysis Considering Charging Pile Allocation Strategy of Automated Container Terminal; [考虑自动化集装箱码头充电桩分配 策略的动态调度仿真分析]</t>
  </si>
  <si>
    <t>REF_078</t>
  </si>
  <si>
    <t>The discharge/loading process of a single container ship by multiple quay cranes and shuttle vehicles moving back and forth from the quay to the yard and vice versa is focused in this paper. The core problem of this major operational issue reduces to finding the optimal assignment and optimal sequencing (schedule) of bays (jobs) processed by a fixed number of available cranes (machines). Under the classical assumption that machines have no release time and that their processing occurs with continuity, at a constant rate, in literature it has been tackled as a deterministic machine scheduling problem and formulated by integer programming as the quay crane scheduling problem (QCSP). Here, instead, the QCSP is viewed as a decisional step within an uncertain and dynamic logistic process where the quay cranes are the resources to be managed at the best, i. e., by minimizing the time spent waiting for each other due to conflicts, as well as the time wasted for blocking and starvation phenomena due to congestion occurring along the path from the quay area and to the stacking yard and vice versa. We present a simulation-based optimization (SO) model for this wider modeling problem with the objective of finding the schedule which optimizes a classical objective function. The search process for the optimal schedule is accomplished by a simulated annealing (SA) algorithm, while performance estimation of the overall container discharge/loading process is provided by the simulation framework as a whole. Numerical experiments on a real instance are presented for tuning purposes of the SA procedure implemented within the simulator. © 2010 Springer-Verlag.</t>
  </si>
  <si>
    <t>REF_077</t>
  </si>
  <si>
    <t>42nd Annual Simulation Symposium 2009, ANSS 2009, Part of the 2009 Spring Simulation Multiconference</t>
  </si>
  <si>
    <t>REF_076</t>
  </si>
  <si>
    <t>This paper presents a simulation model for the analysis of rules for the berthing of ships in container terminals. It deals with a specific model, elaborated from the analysis of real data concerning the arrival of container carriers from a terminal that is specialized in containers at the port of Santos. An aims at indicating which time window berthing is the best one to be offered by the terminal to the shipowner, considering a total cost system of in-line ships Preliminarily, a presentation of the evolution of the transportation of containers by sea is held, through the evolution of international trade and the adequacy of the sea industry to the growth of vessels and its impact on container terminals A bibliographic review was performed aiming at showing the scenarios where the model fits into and a critical analysis of the methods developed. This analysis seeks to demonstrate the best time window berthing to be offered to the shipowner, for a determined arrival pattern by the container terminal. And at the end of this research it is recommended the best time window berthing to be offered to the shipowner by the terminal so as to minimize costs according to the kind of distribution. © 2008 Taylor &amp; Francis Group, London.</t>
  </si>
  <si>
    <t>Analysis of rules for the berthing of ships in container terminals</t>
  </si>
  <si>
    <t>REF_075</t>
  </si>
  <si>
    <t>Container terminals pay more and more attention to the service quality of inland transport modes such as tucks, trains and barges. Truck appointment systems are a common approach to reduce truck turnaround times. This paper provides a tool to use the truck appointment system to increase not only the service quality of trucks, but also of trains, barges and vessels. We propose a mixed integer linear programming model to determine the number of appointments to offer with regard to the overall workload and the available handling capacity. The model is based on a network flow representation of the terminal and aims to minimize overall delays at the terminal. It simultaneously determines the number of truck appointments to offer and allocates straddle carriers to different transport modes. Numerical experiments, conducted on actual data, quantify the benefits of this combined solution approach. Discrete-event simulation validates the results obtained by the optimization model in a stochastic environment. © 2013 Elsevier B.V. All rights reserved.</t>
  </si>
  <si>
    <t>REF_074</t>
  </si>
  <si>
    <t>Liuheng LNG (Liquified Natural Gas) terminal is proposed to serve LNG carriers and LNG tank container ships. However, the capacity of this terminal may be limited by the long entrance channel and traffic rules for LNG transportation. Therefore, to evaluate the capacity of Liuheng LNG terminal, we establish an agent-based microscopic simulation model for ship operation (AMic-SMSO) to simulate the whole process of ship operation in and out of a port. We undertake a series of experiment scenarios to identify the bottlenecks and assess the throughput capability by analyzing waiting times, berth occupancies, and explore the effect of modifying the traffic rules on these indicators. The results show that this simulation model is a useful tool in determining whether traffic rules works well actually, especially for LNG terminal berth configuration plan. © 2019 Dime universita di genova, dimeg university of calabria. All rights reserved.</t>
  </si>
  <si>
    <t>Simulation based evaluation of the capacity of liuheng lng terminal</t>
  </si>
  <si>
    <t>REF_073</t>
  </si>
  <si>
    <t>The container terminal represents the place junction between two or more means of containerized transport, having the necessary equipment for the transhipment, maintenance, repairing, commercial and custom operations. In the other words, it is the location where take place the change of the containers transport means. The container terminals represent the most important intermodal terminals and essential connection in the logistic chain of intermodal transport, which ensure fully cellular ships operation and the containers crossing in the port in a shorter time and at lower costs. The main purpose of terminal management is the development of some strategies which could offer better services to users and to lead to the winning of a competitive position since the performance of a terminal can effect the choice or maintaining of a call port for a shipping line, the improvement of the efficiency of this terminal having a special importance for the entire logistic chain. Among the most demanding requests of container terminal users, we can specify: The time which the ship spends at port must be reduced and should be predictable; The port performances must be better and predictable; The terminal costs must be reduced and must be predictable; The ship operation must be made under safe conditions and without interruptions; The flexibility of container terminal operator to find solutions to all the requests of his/her customers. The management of the system is difficult as a result of the activities complexity which is developed in the terminal and the variable exploitation requirements determined by exogenous and endogenous random factors. Taking into consideration the complexity and the uncertainty characteristic for this system, the modern management of container terminals is more and more supported by mathematic modeling and computer simulation, as basic instruments to take the most efficient strategic, tactic and operational decisions. In this respect, it is necessary to adopt a systematic approach of the terminal, which presupposes the decomposition into subsystems (the four subsystems are: ship-to-shore, transfer, storage and deliver-receipt), the activity analysis of each of them and the optimization of the subsystem performances, as well as of the entire ensemble. For this reason, the container terminal is analyzed as a system of discrete events, through the theory of queuing. This paper presents the main performance parameters of a sea port container terminal and has as a main purpose the analysis of the activity of subsystems and of the entire system, to identify elements which must be optimized and offer a few optimization methods of the activity. The analysis process was conducted using a GPSS simulation model. The container terminal simulation model can be used as a decision support tool for analyzing and evaluating port performance by the terminal management. The importance of the cooperation between the port and the ship is underlined, more precisely, between the management of the container terminal and the ship operations, to obtain some superior performance parameters for the terminal, as well as for a good ship servicing.</t>
  </si>
  <si>
    <t>2nd International Symposium on Ship Operations, Management and Economics 2008</t>
  </si>
  <si>
    <t>About the activities optimization in container terminal</t>
  </si>
  <si>
    <t>REF_072</t>
  </si>
  <si>
    <t>The article presents the issues of a container train loading at the land intermodal terminal. This issue was considered from the point of view of the distance covered by the loading devices and the duration of loading works, which was influenced by the arrangement of containers on the storage yard and the configuration of pins on the wagons. The conducted research was dictated by the small number of publications on loading an intermodal train, especially from the point of view of pin configuration on wagons. The vast majority of the literature is devoted in this field to marine intermodal terminals, which operating characteristics are different from inland terminals. The importance of this problem resulting from the growing turnover of containers transported by rail transport was also pointed out. The systematic increase of this type of transport and the depletion of the intermodal services' operating capability makes it necessary to improve the train loading process. For the purposes of the research, the issues of containers of various sizes loading onto wagons planning with various pin configurations were presented. A literature review was carried out in the field of train loading methods and strategies. A mathematical model was developed for the decision situation under consideration. The equations defining the most im-portant elements of the considered problem were presented in the general form. This model was implemented in the FlexSim simulation environment. The constructed simulation model was used to develop 12 variants of the approach to an inter-modal train loading. The train loading tests were performed both for the random arrangement of containers on the storage yard and for the random arrangement of pins on the wagons. The obtained results made it possible to determine how the knowledge of the arrangement of pins on the wagons influences the planning of train loading and increases the efficiency of loading devices. © 2021 Warsaw University of Technology. All rights reserved.</t>
  </si>
  <si>
    <t>10.5604/01.3001.0015.6928</t>
  </si>
  <si>
    <t>SIMULATION ANALYSIS OF THE IMPACT OF CONTAINER WAGON PIN CONFIGURATION ON THE TRAIN LOADING TIME IN THE INTERMODAL TERMINAL</t>
  </si>
  <si>
    <t>Objectives: Container terminals are essential intermodal interfaces in the global transportation network. Efficient container handling at terminals is important in reducing transportation costs and keeping shipping schedules. The present analysis describes these problems within the scope of container terminal modeling. Methods/Statistical Analysis: Basic formulation of the problem is stated as two-machine flow shop problem. The well-known maximum travelling salesman problem (Max TSP) has been applied in this study. Max TSP can be solved as a TSP by replacing each edge cost by its additive inverse, since, there is a different value for unloading stack i while loading stack j and loading stack i while unloading stack j; this model corresponds to the Asymmetric Travelling Salesman Problem (ATSP). Findings: It is found that, there is an essential need for improvements and optimization of all aspects in the container transportation chains. For the real life systems of this type, this problem has been solved optimally. Significant possibilities for time savings have been arrived in this study. For real life case, where the reloading is performed on two barges placed side by side (8 stacks in the bay, 11 bays, 4 containers in the stack) time savings as a function of the terminal length are presented. The time saving with respect to number of rows inside the container yard is presented. Simulation models of container cranes demonstrate significant time savings, if double cycling is applied. It is showed that application of the double cycling can result in time savings of 12 to 27 % depending on the system parameters. This analysis is based on discrete event simulation and analytical optimization methods. Application/Improvement: Good planning of container terminal operations reduces waiting time for liner ships. Reducing the waiting time increases customer satisfaction and improves the terminal productivity which gives the container terminal an advantage over its competitors.</t>
  </si>
  <si>
    <t>10.17485/ijst/2016/v9i39/98563</t>
  </si>
  <si>
    <t>Indian Journal of Science and Technology</t>
  </si>
  <si>
    <t>An analysis on the modeling of container terminal operations</t>
  </si>
  <si>
    <t>Because of environmental concerns, terminals are increasingly looking to reduce their truck turn time. Terminals are also looking to reduce truck turn time so that they can lower the inland transportation cost of shipping a container. For terminals that stack their containers, the solution may seem obvious: add more yard cranes. However, the high cost of those cranes often prohibits terminals from freely buying more. Another reason terminals are reluctant to add more yard cranes is that there is no clear understanding of how yard cranes affect truck turn time. A study introduces a simulation model for the analysis of truck turn time with respect to crane availability and deployment. This effort is accomplished by modeling the precise movements of trucks and yard cranes. The developed model uses the Barbours Cut Container Terminal of the Port of Houston Authority as a test bed to demonstrate how it can be applied to find the number of yard cranes needed to achieve a desired truck turn time. Other uses of the model include testing the crane deployment methodology, examining the effect of crane failure, and analyzing the impact of an appointment system.</t>
  </si>
  <si>
    <t>Finding the number of yard cranes needed to achieve desired truck turn time at marine container terminals</t>
  </si>
  <si>
    <t>REF_069</t>
  </si>
  <si>
    <t>Maritime container terminals are facilities where cargo containers are transshipped between ships or between ships and land vehicles (tucks or trains). They can be automated; semi- Automated or static ones depend on the type of the equipments that they contain. There are crucial resources at container terminals; the yard, cranes and the vehicles. The yard refers to the temporary storage area where inbound, outbound containers can be stored. While we have two kinds of cranes depending on the type of the yard we are working on: yard crane and quay crane. Vehicles are used to transfer the container between the seaside and yard side (the external trucks XTs are not considerable in our study). The decision of the container stacking position is the most important operational task for the incoming containers which affects not only the productivity of the stacking but also for the later retrieval and also to avoid the unproductive moves to access to the requested containers stored in the stack. Our aim is to define a new approach to design the container stacking problem using an approach of optimization and simulation. Thus in this paper we will define a new MIP which has as objective the minimization of the number of the stacks used to store a given number of inbound containers, and to define afterwards a simulation model using a simulation software (Arena) which has as input the result of the optimization model. So we will try first to define a relocation model using the standard (FCFS) then the Best fit decrease (BFD) from the bin packing algorithm to store and maintain the storage area and to avoid unproductive moves and reshuffles to find out the requested container sequence. The main inputs are high, weight, destination and the delivery time of each container. Our objective is to have, based on heuristics, a guide to the planner to obtain an optimized stacking / reshuffling plan, given a stacking state and a container demand. We will try to minimize the number of reshuffles as well as the number of stacks used and obtaining a conclusion about possible yard configurations.</t>
  </si>
  <si>
    <t>ILS 2016 - 6th International Conference on Information Systems, Logistics and Supply Chain</t>
  </si>
  <si>
    <t>Stacking policy for solving the container stacking problem at a containers terminal</t>
  </si>
  <si>
    <t>REF_068</t>
  </si>
  <si>
    <t>The extension and application of a queuing network model to the management of core logistic processes at the Gioia Tauro marine container terminal is presented. Real features incorporated in the model require simulation to solve it. A manager-friendly simulator is designed for the real case study, under the constraint of guaranteeing a finer representation of: the congestion phenomenon at the port channel; the port admission policy for newly arrived vessels in the roadstead; the management of berthing slots; the assignment of cranes for discharge/loading operations. The application software is presented through a detailed discussion of its features, as these appear on panel for system definition and analysis. The simulator computes point and interval estimates for system performance measures. Statistical computations are based upon the issue of batching elementary observations either within the same run or across multiple runs. Simulation experiments are presented and discussed with the aim of recommending a cost-effective method for interval estimates in quantitative scenario analysis. © 2007 ECMS.</t>
  </si>
  <si>
    <t>10.7148/2007-0353</t>
  </si>
  <si>
    <t>REF_067</t>
  </si>
  <si>
    <t>Multimodal container terminals (MMCTs) are very complex and consequently require synchronization and balancing of container transfers at each node. The problem being investigated is the minimization of ship delays at the port by considering handling and travelling time of containers from the time the ship arrives at port until all the containers from that ship leave the port. When dealing with export containers, the problem would be that of the handling and travelling time of the containers from when they first arrive at the port until the ship carrying the containers departs from the port. Owing to the dynamic nature of the environment, a large number of timely decisions have been reviewed in accordance with the changing conditions of the MMCTs. The model has been run and tested with a small-size problem using CPLEX. A more realistic model is extremely difficult to solve and is in fact proven to be computationally intractable (NP-hard). Metaheuristics have been developed to deal with the intractability so that near-optimal solutions could be obtained in reasonable time. © 2007 Operational Research Society Ltd. All rights reserved.</t>
  </si>
  <si>
    <t>REF_066</t>
  </si>
  <si>
    <t>This paper discusses a method to forecast the yard inventory over a period of time in container terminals. A formulation based on random variables and probabilistic functions is developed which allows predicting the storage space requirement in an easy way without incurring in large calculations or detailed simulation models. The paper also includes a stochastic analysis of extreme yard inventory values in order to have a complete knowledge of both regular and extreme behavior of the storage requirement of a container terminal. A numerical case is also provided to illustrate the potentiality of the formulation and to demonstrate that estimated yard inventory series are close to hypothetical observed values.</t>
  </si>
  <si>
    <t>ILS 2014 - 5th International Conference on Information Systems, Logistics and Supply Chain</t>
  </si>
  <si>
    <t>Forecasting container inventory in container terminals</t>
  </si>
  <si>
    <t>REF_065</t>
  </si>
  <si>
    <t>Lock station layout affects the efficiency of automated container terminal operations. For this reason, a lock station layout strategy must be studied to solve the problem. In this work, based on the traditional lock station layout strategy, we propose a separate lock station layout strategy in which the lock station, QC (Quay Crane) and yard are physically isolated, and the lock station no longer occupies the lane of QC operation area. The simulation results demonstrates that the separated lock station layout strategy can reduce the average waiting time of ART (Artificial Intelligence Robot of Transportation) at the lock station by 99%, and increase the lock station utilization by 22%, which has good practical application value, compared with the traditional method. © 2021 IEEE.</t>
  </si>
  <si>
    <t>10.1109/ICTIS54573.2021.9798536</t>
  </si>
  <si>
    <t>Simulation Study on Layout of Separate Lock Station in Automated Container Terminal</t>
  </si>
  <si>
    <t>REF_064</t>
  </si>
  <si>
    <t>Designing the storage yard in a container terminal is a major step towards efficient terminal operations. The problem may cover both long-term decisions, such as selecting the yard layout and the material handling equipment, and short-term decisions, such as assigning storage space and dispatching and routing the material handling equipment. We present a discrete-event simulation model to investigate the best yard layout in terms of block position, number and capacity in a straddle carrier-based transshipment hub bearing a perpendicular yard layout. The simulation model is highly detailed and it captures the blocking, locking and further waiting conditions occurring during real-time operations. Numerical experiments carried out for a real container terminal show how the model may easily support the operations manager in choosing the block design that minimizes the waiting times of straddle carriers and the makespan of the integrated container discharge/loading process. © 2017 IEEE.</t>
  </si>
  <si>
    <t>10.1109/WSC.2017.8248033</t>
  </si>
  <si>
    <t>A simulation model for designing straddle carrier-based container terminals</t>
  </si>
  <si>
    <t>REF_063</t>
  </si>
  <si>
    <t>Dual cycling is an operational strategy which can improve the efficiency of a quay crane (QC) and the land side operations of container ports by loading and unloading containers in the same cycle. Most of the research on the dual cycling strategy has focused on the modelling of single QC operations. Multi-QC dual cycling reduces the operation time of a vessel involved in an operation. The aim of this study is to show how multi-QC single and dual cycling strategies can be modelled and analysed by simulation. Two simulation models are developed for a port container terminal to analyse the application results of single and dual cycling strategies used for vessel loading and unloading operations. Multi QC single cycling strategy is used in the first model while multi QC dual and single cycling strategy is used in the second model. The method is illustrated by a real-life case study. The findings of the simulation results show that the system performance can be improved by using the multi-QC dual cycling strategy. © 2021, DAAAM International Vienna. All rights reserved.</t>
  </si>
  <si>
    <t>10.2507/IJSIMM20-3-559</t>
  </si>
  <si>
    <t>Simulation of multi-crane single and dual cycling strategies in a container terminal</t>
  </si>
  <si>
    <t>The research work proposed in this paper focalizes on students education and training to Modeling &amp; Simulation principles by considering the model implementation of a real system, in particular a container terminal. Each group of students (five different groups) has developed the simulation model of a specific container terminal operative section, choosing input parameters and performance measures. The five simulation models have been combined to form a single simulation model capable of recreating the complex and stochastic environment of a container terminal. At last an application example has been developed for transmitting to students the sharp concepts as well as techniques to be applied to analyze complex systems.</t>
  </si>
  <si>
    <t>International Mediterranean Modeling Multiconference, I3M 2007</t>
  </si>
  <si>
    <t>Students training: Integrated models for simulating a container terminal</t>
  </si>
  <si>
    <t>REF_061</t>
  </si>
  <si>
    <t>Automation in maritime container terminals is gaining momentum as the advantages in terms of productivity and costs have become apparent. Automated container terminals differ from manual ones by robotized vehicles transporting the containers instead of man-driven vehicles. The design of an automated container terminal remains a daunting task due to the large solution space. In previous work, we introduced the multiple worlds concept to support the design of complex systems. By applying the multiple worlds formalism on the case of automated container terminals, we are able to explore the large solution space in a structured way and have the ability to select the most robust design. In order to use the concept however, a specific component library has to be developed that can be used in a multiple worlds environment. This component library has different abstraction levels that can be used throughout the design process. During the design process, different alternatives are explored by going from a high abstracted model to a more concrete model. At the end of the design process, different concrete models are available. From these concrete models, a thorough selection can be made to finally maintain the most robust design. In this paper, the concept will be discussed and the component library will be presented. © 2010 SCS.</t>
  </si>
  <si>
    <t>10.1145/1878537.1878601</t>
  </si>
  <si>
    <t>Spring Simulation Multiconference 2010, SpringSim'10</t>
  </si>
  <si>
    <t>REF_060</t>
  </si>
  <si>
    <t>This paper proposes a Petri net (PN) representation of the activities performed by the key human operators for unloading/loading containers in an intermodal maritime container terminal (CT) with a low level of automation. These processes are the core of the export, import, and transshipment cycles executed in the terminal. The aim of this paper is to consider both the human component and the material handling resources, e.g., cranes and transporters, by defining an accurate model, which describes how to coordinate humans and use the system resources necessary for serving mother or feeder ships. The developed generalized stochastic PN-based model is of limited complexity and represents a complete, unambiguous, and readable model of the target process before coding it in the target simulation tool. The modular integrated model is tested and validated by the simulation of typical and perturbed scenarios of the Taranto CT, a real terminal that is taken as a case study for its complexity and similarity to CTs with multiple transport modes. © 2016 IEEE.</t>
  </si>
  <si>
    <t>10.1109/TASE.2016.2553439</t>
  </si>
  <si>
    <t>A Generalized Stochastic Petri Net Approach for Modeling Activities of Human Operators in Intermodal Container Terminals</t>
  </si>
  <si>
    <t>REF_059</t>
  </si>
  <si>
    <t>To alleviate congestion at the entrance of a Maritime Container Terminal simulation models were used to explore alternative ways of operation. By introducing parallel operations, and rearranging weighing machines, we could obtain higher service levels and less flow time for the trucks. Results were obtained using Arena and proved valid in practice.</t>
  </si>
  <si>
    <t>9th International Industrial Simulation Conference 2011, ISC 2011</t>
  </si>
  <si>
    <t>Improvement of key processes in a container terminal: An application of discrete simulation</t>
  </si>
  <si>
    <t>REF_058</t>
  </si>
  <si>
    <t>Bechtel Australia has awarded the telecommunications manufacturer Alcatel a contract of several million € to provide communications solutions for the liquefied natural gas terminal at Darwin, Australia. Bechtel Australia is the principal contractor of the project. The installations of Alcatel solutions will start in August 2004 and be completed in December 2004. The contract also relates to fiber optics, and a system of continuous power supply to alarm and systems and radio equipment.</t>
  </si>
  <si>
    <t>Note</t>
  </si>
  <si>
    <t>Petrole et Techniques</t>
  </si>
  <si>
    <t>Information in brief. International. Alcatel communication solutions for the LNG terminal at Darwin, Australia; [Informations brèves. International. Des solutions de communication Alcatel pour le terminal de GNL de Darwin, en Australie]</t>
  </si>
  <si>
    <t>REF_057</t>
  </si>
  <si>
    <t>Simulation has been an integral part of research and development work in container terminal operations. The sheer size of the facilities and the complexity of equipment used make it difficult to predict analytically how the terminal will operate under specific layouts and configurations. Control techniques which relate to the dynamic behaviour of the equipment are even more difficult to analyse and benchmark, therefore necessitating the presence of a tool that can replicate the behaviour of a real terminal. This paper provides an overview of the domain of container terminal simulation. It discusses several model classifications and presents technical concerns in their development. A review of academic container terminal models is conducted, which includes both models that have served as primary study objectives or simply as test-beds for work on terminal control/planning. These are classified where possible in accordance to the categories that have been previously identified. Finally, current trends in container terminal simulation are discussed, and recommendations are given on the design and selection of the approach to be employed on new models. © 2011 Taylor &amp; Francis.</t>
  </si>
  <si>
    <t>10.1080/03088839.2011.597448</t>
  </si>
  <si>
    <t>A review of container terminal simulation models</t>
  </si>
  <si>
    <t>REF_056</t>
  </si>
  <si>
    <t>A freight intermodal terminal represents one of the most significant bottleneck in logistic chains. The discrete event simulation is suitable to represent the terminal operations, enabling the identification of strengths and weaknesses. It also permits the evaluation ahead of time the changes that modify organizations or the workability of terminals. In this paper the modelling process is described for a railroad terminal based on the simulation platform Planimate©. This platform is suitable to deal with systems articulated with plenty of data and sub-processes, to be managed in parallel and for synchronized cycles controlled according to a time run. The model is organised according to a hierarchical structure composed by various subsystems: the highest level represents the layout of the terminal; the lower levels represent the operational areas, where the models manage integrated flows and elementary operations. Once the model has been built and is able to work, the achievable results are both in the field of operational management of the terminal (short-term application) and in the field of perspective analysis to check the feasibility and effectiveness of new scenarios, built by combining innovative technologies and operational measures (long-term application). The assessment of present and future scenarios is based on key performance indicators, which the model is able to calculate. © Civil-Comp Press, 2016.</t>
  </si>
  <si>
    <t>Civil-Comp Proceedings</t>
  </si>
  <si>
    <t>Discrete events simulation of intermodal terminals operation: Modelling techniques and achievable results</t>
  </si>
  <si>
    <t>REF_055</t>
  </si>
  <si>
    <t>Block widths ranging from two to fifteen rows in a marine container terminal are evaluated by a fully-integrated, discrete event simulation model. Experiments consider dozens of yard configurations and four container terminal settings that are designed to reproduce the microscopic, stochastic, real-time environment at a multiple-berth facility. Results show that the quay crane rate is concave with respect to block width when the yard storage capacity and amount of yard equipment is constant. The optimal block width ranges from 6 to 12 rows depending on the amount of equipment deployed and the size, shape, and throughput of the terminal. © 2008 Elsevier Ltd. All rights reserved.</t>
  </si>
  <si>
    <t>REF_054</t>
  </si>
  <si>
    <t>Container terminals are the actual backbone of break bulk cargo transport around the world. Pressure by supply chains, coupled with the rapid growth in cargo amounts, result in an ever-increasing demand for productivity optimizations in this highly competitive market. Within short time windows, many cargo handling processes occur in parallel, and operational decisions should take into account both time efficiency and equipment utilization. Waterside operations consist in handling of containers by quay cranes, land based guided vehicles and yard cranes. The container relocation problem that minimizes the number of moves needed to retrieve all containers, while respecting a given order, is studied in parallel with the quay cranes scheduling to find an optimal sequence of crane operations that perform the required container movements. Starting with real data from Constanta Container Terminal, and studying the statistical relevance between operational indicators and applied inverse statistics as a pertinent tool for waiting time expectancy. In the paper is proposed a simulation based-optimization process viewing the dynamics of the Container Terminal as a complex system, because during operation, many sources of disturbance and uncertainty exist. Possible designs are investigated in the framework of Bayesian optimization and Simulated Annealing of the proposed time convergence algorithms. The research in the paper is based on real data from Constanta Container Terminal, and studied the statistical relevance between operational indicators and applied inverse statistics as a pertinent tool for waiting time expectancy. © 2023 SPIE.</t>
  </si>
  <si>
    <t>10.1117/12.2643261</t>
  </si>
  <si>
    <t>The dynamics of a maritime container terminal complex system: optimization process design</t>
  </si>
  <si>
    <t>REF_053</t>
  </si>
  <si>
    <t>In this chapter, four different automated Rail-Mounted Gantry (RMG) yard crane systems – Single RMG, Twin RMG, Double RMG (DRMG) and Triple RMG (TRMG) – are compared with respect to their characteristics and performance. Furthermore, different approaches for their scheduling are presented: On the one hand, a branch-and-bound procedure for single yard block optimization which incorporates important aspects like crane interference, and on the other hand, an integrated scheduling approach which optimizes the equipment at terminal yard and waterside simultaneously, taking the interrelations with horizontal transport and quay cranes into account. Moreover, a combination of the two approaches is studied. Using a specifically designed simulation model, both the crane systems and the different scheduling approaches are extensively examined with respect to their performance and practical use, e.g. in case of disturbances. Standard priority rules (e.g. First-IN-First-OUT) serve as a benchmark here. It turns out that both approaches are advantageous compared to simple priority rules, and that the crane systems with overtaking possibility are well-adaptable, optimizable, flexible and productive. Moreover, it can be concluded that optimization aspects should already be taken into account in the terminal planning phase, in order to reach optimal productivity levels later on. © 2020, Springer Nature Switzerland AG.</t>
  </si>
  <si>
    <t>10.1007/978-3-030-39990-0_18</t>
  </si>
  <si>
    <t>Comparison and optimization of automated yard crane systems at container terminals</t>
  </si>
  <si>
    <t>REF_052</t>
  </si>
  <si>
    <t>10.1201/b13165</t>
  </si>
  <si>
    <t>Advances in Civil Engineering and Building Materials</t>
  </si>
  <si>
    <t>REF_051</t>
  </si>
  <si>
    <t>Since the 1980s, the demand for Hong Kong's container handling facilities has been increasing due to the robust economic growth in South China. As more and more vessels call on Hong Kong's container terminals, the vessels moving in the basin surrounded by the container terminals will have a bigger chance of interfering with one another, due to the need to comply with navigation safety requirements. The interference often necessitates the vessels to stop occasionally while moving along their navigation paths in order to avoid potential collisions. This paper develops a simulation model for studying the impact of the vessel-traffic interference in Hong Kong's terminal basin on its container terminals' capacities. Major navigation safety requirements and terminal operational characteristics are considered in the model. The model's simulation results show that the delays due to the vessel-traffic interference lead to a considerable reduction in Hong Kong container terminals' capacities. This model can assist the container terminals in estimating the benefits of coordinating vessel movements in the terminal basin. © 2006 ASCE.</t>
  </si>
  <si>
    <t>Journal of Waterway, Port, Coastal and Ocean Engineering</t>
  </si>
  <si>
    <t>REF_050</t>
  </si>
  <si>
    <t>REF_049</t>
  </si>
  <si>
    <t>The correct prediction in the transport logistics has vital importance in the adequate means and resource planning and in their optimisation. Up to this date, port planning studies were based mainly on empirical, analytical or simulation models. This paper deals with the possible use of Bayesian networks in port planning. The methodology indicates the work scenario and how the network was built. The network was afterwards used in container terminals planning, with the support provided by the tools of the Elvira code. The main variables were defined and virtual scenarios inferences were realised in order to carry out the analysis of the container terminals scenarios through probabilistic graphical models. Having performed the data analysis on the different terminals and on the considered variables (berth, area, TEU, crane number), the results show the possible relationships between them. Finally, the conclusions show the obtained values on each considered scenario. © 2015, Faculty of Transport and Traffic Engineering. All rights reserved.</t>
  </si>
  <si>
    <t>10.7307/ptt.v27i5.1689</t>
  </si>
  <si>
    <t>Promet - Traffic and Transportation</t>
  </si>
  <si>
    <t>Setting the port planning parameters in container terminals through bayesian networks</t>
  </si>
  <si>
    <t>REF_048</t>
  </si>
  <si>
    <t>This paper presents a simulation model representation of the Mobile Container Terminal that is under construction at the Alabama State Docks in Mobile, Alabama. Included in this paper are a description of the container terminal, the conceptual framework of the model and an analysis of the simulation results.</t>
  </si>
  <si>
    <t>Huntsville Simulation Conference, HSC 2007</t>
  </si>
  <si>
    <t>Container terminal simulation</t>
  </si>
  <si>
    <t>REF_047</t>
  </si>
  <si>
    <t>Aiming at an automated container terminal whose blocks in yard are parallel to the quay shoreline, this paper designs an isolated lane layout of the yard, which physically separates the ARTs (Artificial Robot Intelligence of Transportation) from the external trucks while driving. ART travels counterclockwise along its driving lane, and the external truck drives clockwise along its driving lane, so that the two vehicles no longer share the same lane. Therefore, isolated lane layout can improve the efficiency of transportation. Finally, we build the simulation model of the isolated lane layout in automated container terminal yard through AnyLogic software. The performance of the isolated lane layout and the traditional automated container terminal layout which blocks are vertical to the quay shoreline is evaluated. Compared with the vertical layout, the simulation results show that under the isolated lane layout, the average waiting time of the ARTs and the external trucks could be reduced by 85% and 75%, the average queue length is reduced by 80% and 41%, and the operation efficiency of the yard is improved by 4%. © 2021 IEEE.</t>
  </si>
  <si>
    <t>10.1109/ICTIS54573.2021.9798595</t>
  </si>
  <si>
    <t>Simulation Analysis of Isolated Lane Layout in Automated Container Terminal Yard</t>
  </si>
  <si>
    <t>REF_046</t>
  </si>
  <si>
    <t>Container terminals are complex systems where containerized cargo undergoes a set of processing and handling operations to be delivered to their outgoing modes. A pool of decision support methods and simulation models has been developed to assist planners and managers in making decisions about daily operations. Nevertheless, most are designed for a particular terminal and not generic types. Indeed, a generic model serves as a conceptual factory to create specific models which greatly reduces the time and efforts of development; however, building such a model is no mean feat. To this aim, the paper on hand discusses the complexity of applying genericity, flexibility, and modularity in system modeling and proposes a generic architecture to build modular and flexible simulation models for container terminals. This architecture is split into a set of smaller, manageable, well-connected, and generic modules that facilitate the creation of highly parametrized specific models. An illustrative example of the architecture usage is presented in a case study, the new container terminal of Stockholm, and the resulting models were validated by subject matter experts. Finally, to prove its efficiency, a numerical study fed with real data is conducted to investigate the handling capacity of the studied system under different handling and flow scenarios. The obtained results show that the terminal handling capacity can be increased by around 50% if three to four more straddle carriers are added to the existing fleet. © The Author(s) 2023.</t>
  </si>
  <si>
    <t>10.1177/00375497221144646</t>
  </si>
  <si>
    <t>Proposal of a module-driven architecture for building simulation models devoted to container terminals: dilemmas in applying generic, flexible, and modular principles</t>
  </si>
  <si>
    <t>The coast of Togo at the Gulf of Guinea, situated in West Africa is not sheltered by natural protection, such as offshore islands or rocky shorelines. The approximately 65 km long Atlantic Ocean coastline does mainly consist of sand, which is prone to erosion due to wave attacks and the prevailing west-east current. With a traditionally dense populated coast, the land losses caused by erosion constitute a main issue for the Togolese as well as for the infrastructure in general. The problems caused by erosion are therefore vigorously pursued by the Togolese Government. Greater Lomé, located at the coast, accommodates 2,5 Million of the 6 to 7 Million Togolese people. The construction of additional and maintaining of existing groins would stabilize Togo's coastline. The article describes the technical implementation of coastal protection measures designed and supervised by INROS LACKNER AG.</t>
  </si>
  <si>
    <t>10.1002/bate.201010023</t>
  </si>
  <si>
    <t>Bautechnik</t>
  </si>
  <si>
    <t>Coastal protection measures in togo - Stabilization of erosionthreatened sections of the beach and protection of the container terminal lomé by means of a sea groyne; [Küstenschutzmaßnahmen in togo - Stabilisierung erosionsgefährdeter strandabschnitte und schutz des containerterminals lomé durch den neubau einer buhne]</t>
  </si>
  <si>
    <t>REF_044</t>
  </si>
  <si>
    <t>During planning and designning the reconstruction project of container terminal, an animated computer simulation model was built, and a series of model experiments were carried out. Experiment results show that maximum annual throughput of the terminal is 1.5 × 106 TEU, and yard capacity is a bottleneck of the terminal, adding proper number of trailers into the terminal can promote waterfront production. If the terminal operates together with Linhai road container yard, which is used as the terminal's supplement yard for import containers, annual throughput can reach 2.0 × 106 TEU. The results show that the model is feasible.</t>
  </si>
  <si>
    <t>Journal of Traffic and Transportation Engineering</t>
  </si>
  <si>
    <t>Computer simulation of container terminal planning and design</t>
  </si>
  <si>
    <t>REF_043</t>
  </si>
  <si>
    <t>In Ro-Ro terminals, terminal capacity is more needed than other types of marine terminals since Ro-Ro cargoes cannot be stacked. In this sense, the variables affecting capacity of a Ro-Ro terminal can be listed as follows; number of vehicles arrived to a terminal, distance between terminals, ship capacity, terminal gates, customs control units, terminal traffic and local traffic, security check, bunkering services etc. In this study, a model generated intended for making capacity analysis in Ro-Ro terminals by using simulation modeling method. Effect of three variables to terminal capacity was investigated while generating the scenarios; ‘number of trucks arriving to terminals’, ‘distance between terminals’ and ‘Ro-Ro ship capacity’. The results show that the variable which affect terminal capacity mostly is ‘number of trucks arriving to terminals’. As a consequence of this situation, it is thought that a Ro-Ro terminal operator must prioritize the demand factor and make an effective demand forecasting in determination of the terminal area. © 2016 The Korean Association of Shipping and Logistics, Inc.</t>
  </si>
  <si>
    <t>10.1016/j.ajsl.2016.09.002</t>
  </si>
  <si>
    <t>Capacity Analysis of Ro-Ro Terminals by Using Simulation Modeling Method</t>
  </si>
  <si>
    <t>A data-driven, agent-based model to simulate a port transport system affected by a LNG terminal is developed. A real case of Ningbo-Zhoushan Central Port Area is investigated by this model. The simulation results reveal that, if a LNG terminal embeds in the central port area, a LNG vessel in/out harbor will bring out a negative effect on the shipment timeliness. The effect on the development of the port and LNG terminal would be significant. Furthermore, the improvement countermeasures are provided based on the analysis. The simulation results show that the suggested measures could effectively reduce the effect on the LNG terminal and improve the navigation efficiency. It is demonstrated that the present agent-based model is capable of simulating the complex relationship of different vessels in a relatively complicated transport environment and can be further employed in other port transportation systems. © 2014 American Society of Civil Engineers.</t>
  </si>
  <si>
    <t>10.1061/9780784413623.014</t>
  </si>
  <si>
    <t>CICTP 2014: Safe, Smart, and Sustainable Multimodal Transportation Systems - Proceedings of the 14th COTA International Conference of Transportation Professionals</t>
  </si>
  <si>
    <t>Agent-based simulation analysis on the effect of an LNG terminal on a port transport system</t>
  </si>
  <si>
    <t>REF_041</t>
  </si>
  <si>
    <t>Increased global container trade and strong competition are boosting the need for efficient container terminals. Using internal transport resources efficiently reduces transfer times and operating costs. This article addresses the allocation of straddle carriers at a tactical level at intermodal container terminals via optimization and simulation. Our objective is to reduce overall delays at the terminal—with special focus on delays of inland transport modes (rail, road and waterway). We introduce a notation to describe different service strategies and delay criteria and analyze the complexity of different service strategies. A generic mixed integer linear program—that can be easily adapted to different service strategies—models the allocation problem based on a network flow representation of the terminal. We conduct a case study for a container terminal at the Grand Port Maritime de Marseille to evaluate the proposed allocation: we adapt the optimization model to the specific terminal, implement a discrete event simulation model and conduct experiments on actual data. Results show that the allocation proposed by the optimization model reduces delays at the terminal and performs well in a stochastic environment. © 2013, Springer Science+Business Media New York.</t>
  </si>
  <si>
    <t>10.1007/s10696-013-9188-1</t>
  </si>
  <si>
    <t>Optimized allocation of straddle carriers to reduce overall delays at multimodal container terminals</t>
  </si>
  <si>
    <t>Automated Guided Vehicle (AGV) positioning and scheduling critically impact automated container terminal efficiency, yet operational uncertainties significantly challenge effective decision-making. This study addresses the integrated AGV positioning and scheduling problem (AGV-PSP) under uncertainty through a novel framework integrating reinforcement learning (RL), combinatorial optimization, and high-fidelity simulation. We formulate the AGV-PSP as a Markov Decision Process where RL learns the state value function, estimating the long-term operational value of terminal locations. Based on the value function, our positioning policy strategically locates AGVs in high-value areas, while our scheduling policy balances immediate and long-term rewards using integer linear programming solved by an improved Hungarian algorithm. Experiments demonstrate 35.6% higher rewards and 36.6% lower costs compared to benchmarks on average. Sensitivity analyses validate the framework’s robustness across varying uncertainty. © 2025 IEEE. All rights reserved.</t>
  </si>
  <si>
    <t>10.1109/TITS.2025.3639621</t>
  </si>
  <si>
    <t>Integrated AGV Positioning and Scheduling Using Simulation-Based Reinforcement Learning and Combinatorial Optimization in Automated Container Terminals</t>
  </si>
  <si>
    <t>REF_039</t>
  </si>
  <si>
    <t>In this study, we have designed a new intermodal automated container transport system (ACTS) via a roll-on/roll-off method that connects a logistics hub between a port and inland. Further, we have presented the development of a simulation model and the results of the simulator development. A simulation program was developed using a general-purpose simulation system (GPSS)/H to predict the processing capacity of the ACTS system and derive the optimum input equipment size and operation method. Additionally, the PROOF5 program was used for the visual verification of the system algorithm and for users to intuitively view and monitor events occurring in the terminal. The simulation program developed in this study can be used in the future as a tool to compare and analyze the efficiency of the existing road-transport-based system and the proposed ACTS system when the latter is implemented in a specific region. © 2020 by the authors.</t>
  </si>
  <si>
    <t>10.3390/JMSE8040233</t>
  </si>
  <si>
    <t>Design and simulation of a new intermodal automated container transport system (ACTS) considering different operation scenarios of container terminals</t>
  </si>
  <si>
    <t>Automatic container terminals (ACTs) have emerged as the development direction of upgrading and transformation for traditional manual container terminals. A number of terminal layouts are devised and implemented. However, it is the lack of a comprehensive comparison of different container terminal layouts from aspects of operation cost and energy consumption. In view of this, a Time-Driven Activity-Based Costing approach is used to identify the ACT profitability bottlenecks. A multi-agent based simulation model considering four main terminal layouts is established. The multi-level handling of ACTs is simulated and the corresponding operation time and energy consumption are calculated. Simulation results show that automated guided vehicles (AGVs) are the key to improving the cost-effectiveness of ACTs. The cost-effectiveness of ACTs with non-cantilever automated rail-mounted gantries (ARMGs) is more vulnerable than that of ACTs with bilateral cantilever ARMGs. On average, ACTs with bilateral-cantilever ARMGs consume less energy per container task than ACTs with non-cantilever ARMGs. This study provides management insights into resource allocation, layout design, and sustainable development. © 2023</t>
  </si>
  <si>
    <t>In container terminals, containers are transported from the quay to the storage yard and vice versa by yard trucks (YTs), in which YTs are used for transfer operations. We focus on the operational management of the dynamic transfer equipment deployed between the quay and the container yard, during the container unloading/loading process at a given number of ships according to a previously planned berth schedule. This study discusses how virtue of information technology enhancement activities is provided to raise port competitiveness. Advanced operation systems are actively being made, and determined from the viewpoint of investment effect. These systems are more preferable than infrastructure expansion and additional equipment acquisition. Using a simulation methodology, we have tried to prove that the real-time data collection by using radio frequency identification (RFID) and dynamic operation of YT brings a positive effect on the productivity improvement and resource utilization enhancement. As a result of that, it was found that about 25% of productivity improvement may be realized by simulation study. Computational calculations for validation of simulation models based on real-time data are provided. © 2009 Journal of Mechanical Engineering. All rights reserved.</t>
  </si>
  <si>
    <t>Strojniski Vestnik/Journal of Mechanical Engineering</t>
  </si>
  <si>
    <t>Dynamic equipment deployment at a container terminal: Transfer system based on real-time positioning</t>
  </si>
  <si>
    <t>REF_036</t>
  </si>
  <si>
    <t>This work tackles the problem of controlling operations at an automated container terminal. In the context of large supply chains, there is a growing trend for increasing productivity and economic efficiency. New optimization models and algorithms are provided for scheduling and routing equipment that is moving containers in a quay area, loading/unloading ships, transporting them via Automated Guided Vehicles (AGVs) to Automated Stacking Cranes (ASCs), organizing them in stacks. In contrast with the majority of the approaches in the related literature, this work tackles two dynamics of the system, a discrete dynamic, characteristic of the maximization of operations efficiency, by assigning the best AGV and operation time to a set of containers, and a continuous dynamic of the AGV that moves in a geographically limited area. As an assumption, AGVs can follow free range trajectories that minimize the error of the target time and increase the responsiveness of the system. A novel solution framework is proposed in order to tackle the two system dynamics. Various metaheuristic algorithms are tested to solve the problem in a near-optimal way. Computational experiments are presented in order to show the feasibility of the proposed framework on a practical case study, and to assess the performance of advanced scheduling and routing algorithms on numerous system settings.</t>
  </si>
  <si>
    <t>10.3311/PPtr.8620</t>
  </si>
  <si>
    <t>Periodica Polytechnica Transportation Engineering</t>
  </si>
  <si>
    <t>Optimal scheduling and routing of free-range AGVs at large scale automated container terminals</t>
  </si>
  <si>
    <t>REF_035</t>
  </si>
  <si>
    <t>This paper introduces an advisory-based time slot management system (TSMS) to control truck arrivals at seaport terminals with the aim to reduce congestion at terminal gates. A modeling framework is proposed, developed, and applied to assess the impact of a truck arrival shift for a case study in the Port of Rotterdam. This system is designed to apply control policies on truck inflow while taking the behavioral aspect of truck operating companies (TOCs) into account. Discrete choice modeling is used to infer the time-of-day preferences of TOCs for container pick-ups from the exchange of information between port and hinterland stakeholders. These preferences are used to shift truck arrivals to the off-peak period which consequently reduces the high waiting time of trucks at terminals gates. To evaluate the effectiveness of the designed TSMS, a simulation platform that resembles terminal operations has been developed using discrete-event simulation. For the allocation of trucks to a certain time of day, a choice-based stochastic assignment heuristic is designed to approximate the optimum configuration of the truck arrival shift policy experiment. The optimum truck arrival shift design shows that significant gain can be obtained even at a low shift rate. © National Academy of Sciences: Transportation Research Board 2022.</t>
  </si>
  <si>
    <t>The paper discusses the characteristic of container terminals automatic yard system and the purpose of system simulation. A series of numeric simulation model of the container yard logistics system were constructed based the AutoMod software. The models were checked up and applied in a certain container terminals automatic yard, the analysis of the results shows that the models were tried. Some research on the optimization of yard machine scheme was made, and some reasonable result achieved. All this provides the decision support for the terminal management.</t>
  </si>
  <si>
    <t>10.1109/CHICC.2008.4605462</t>
  </si>
  <si>
    <t>Proceedings of the 27th Chinese Control Conference, CCC</t>
  </si>
  <si>
    <t>The simulation of container terminals automatic yard logistics system and the optimization of yard machine attempter based on AutoMod</t>
  </si>
  <si>
    <t>REF_033</t>
  </si>
  <si>
    <t>Based on the multi-intelligence simulation modeling method, we establish the whole process simulation model on ship’s in/out of relative areas of Lianyungang Port, by which we quantitatively evaluate the possible long-term impact on navigational induced by the LNG terminal, and compare the result with existed research conclusions. By comprehensive comparison of essential factors including waterway conditions, location and rear city distance, navigation impact, etc., we propose the recommended site of the LNG terminal of Lianyungang Port. The analysis method and conclusion proposed provide technical support for the layout planning of regional LNG terminals. © 2022 Port and Waterway Engineering - Editorial Department. All rights reserved.</t>
  </si>
  <si>
    <t>Selection of Lianyungang Port LNG terminal's location based on comprehensive analyses of multiple essential factors; [基于多要素比选的连云港港 LNG 接收站码头选址]</t>
  </si>
  <si>
    <t>REF_032</t>
  </si>
  <si>
    <t>Maritime container terminals are faced with the issue of an increased quantity of cargos that must be handled with limited resources. In this study, a simulation model of a container terminal focused on import cargos was constructed and used to examine handling operation flows. Yard operation data recorded by a terminal operating system were processed using Visual Basic Application (VBA) and analyzed to capture the system working features and to obtain model input parameters. Then, a special purpose data generator was developed to create experimental data to execute the simulation to compare and evaluate the performance of the cargo handling equipment under various workloads. The proposed procedure for processing system data and creating input parameters represents a potential method for forecasting and evaluating port operation. © 2015 IEEE</t>
  </si>
  <si>
    <t>Simulation-based analysis of import cargo-handling operations on a container terminal</t>
  </si>
  <si>
    <t>REF_031</t>
  </si>
  <si>
    <t>International conference on System Science and Simulation in Engineering - Proceedings</t>
  </si>
  <si>
    <t>REF_030</t>
  </si>
  <si>
    <t>A long queue of vehicles at the gate of a marine terminal is a common traffic phenomenon in a port-city, which sometimes causes problems in urban traffic. In order to be able to solve this issue, we firstly need accurate models to estimate such a vehicle queue length. In this paper, we compare the existing methods in a case study, and evaluate their advantages and disadvantages. Particularly, we develop a simulation-based regression model, using the micro traffic simulation software PARAMIC. In simulation, it is found that the queue transient process follows a natural logarithm curve. Then, based on these curves, we develop a queue length estimation model. In the numerical experiment, the proposed model exhibits better estimation accuracy than the other existing methods. © 2014 by Gang Chen.</t>
  </si>
  <si>
    <t>International Journal of Applied Mathematics and Computer Science</t>
  </si>
  <si>
    <t>Methods for estimating vehicle queues at a marine terminal: A computational comparison</t>
  </si>
  <si>
    <t>REF_029</t>
  </si>
  <si>
    <t>Applying discrete event system simulation technology, and analyzing the internal role of container terminal stevedoring technology, the common simulation platform for the optimization design of container terminal stevedoring technology was constructed. On the basis of analyzing the present development and problems of container terminal simulation technology, the set of container terminal stevedoring technology schemes, and their operation methods and processes were concluded. Then, the functions of common simulation platform system for the optimization design of container terminal stevedoring technology were given. The logic structure of the simulation model was constructed. The data collection and statistics methods of container terminal stevedoring activities were introduced., and the evaluation standards of container terminal stevedoring technology schemes based on simulation were offered.</t>
  </si>
  <si>
    <t>Construction of common simulation platform for design of container terminal stevedoring technology</t>
  </si>
  <si>
    <t>REF_028</t>
  </si>
  <si>
    <t>Maritime transportation is a mode of transportation that is widely used to transport freight. East Java is a province in Indonesia which has a strategic location in terms of maritime transportation. PT. Terminal Petikemas Surabaya (PT TPS) is one of the terminals in East Java which has the largest international container flow, however, container flows are not balanced by the investment in increasing the number of container fields in the port. In addition, too long the dwelling time makes the terminal need to provide special land for a very long time limit. Determination of the deadline for stacking containers to be exported needs to be considered so that land availability and capacity can be optimized. Therefore, this study will analyze the deadline for the accumulation of export containers at PT. Terminal Petikemas Surabaya. In this study, agent-based simulations will be conducted. Using dynamic of the containers movement we described the better setting time for occupation of the container yard. The changing of lifespan and middle value can decrease the Yard Occupation Ratio by 6%. This result can be addressed as the policy of the dwelling time and long-stay period of the container in the terminal. © 2019 The Authors.</t>
  </si>
  <si>
    <t>10.1016/j.procs.2019.11.199</t>
  </si>
  <si>
    <t>Dynamics analysis of container needs and availability in Surabaya container terminal with agent-based modeling and simulation</t>
  </si>
  <si>
    <t>REF_027</t>
  </si>
  <si>
    <t>In the ongoing decade, port logistics in Europe have been exposed to intense competition. Especially container ports experience competition not only for ships but also for supply chains. To adapt to this trend, terminal operators are improving the efficiency in port logistics through, among other things, automation of port operations. Most of these efforts concern processes handling shipped goods. Instead of concentrating on these well-researched improvements, we explored the feasibility and economic potential of an intelligent lighting control system. Often automating handling processes need high investments in hard- and software. This smart lighting system is supposed to control demand-actuated outdoor lights in a harbour environment. In this research, movement profiles of straddle carriers and infrastructural data were gathered and refined to build a model of the observed container terminal. The modelled infrastructure includes the position of every lighting tower and its illuminant as well as their specific power consumption and the respective area, which those lights illume. To control these lights, we developed a control algorithm. We investigated through simulation experiments the power savings for this autonomous lighting control system. Multiple influential factors of this control concept were evaluated by varying the parameterization of the algorithm. A gathered data set, containing trajectories of operating straddle carriers during full terminal utilization, is the basis for the mentioned experiments. The results of varying the utilization rate of the terminal have identified a relationship between capacity and percental power consumption, in the form of a root function. The more straddle carriers run, the less the overall power consumption is increasing. Using the intelligent light control system on full utilization saves 14.67% of the total energy. In the case of 80 % terminal utilization, 18.22 % of total energy is subject for saving effects. Besides these results, we were able to explore the influences of the algorithm parameterization on the energy savings and could assess these solutions economically. © 2020 The Authors. Published by Elsevier B.V.</t>
  </si>
  <si>
    <t>Development of an autonomous light control algorithm with a simulation model of a container terminal</t>
  </si>
  <si>
    <t>REF_026</t>
  </si>
  <si>
    <t>Implementing a truck appointment system at container terminals is a successful method to smoothen peaks in truck arrivals and thereby reduce truck waiting times and congestion in the port area. In spite of extensive literature on its impact on container terminal productivity, other stakeholders in the port drayage network have been studied only occasionally. This paper aims to analyze different strategies of time window selection for port drayage companies considering different company sizes and competitor’ strategies. The analysis is done by means of a discrete event simulation model. The results show that an early booking of appointments at container terminals is beneficial for the success rate of trucking companies. Furthermore, it is highlighted that the truck turn time of small-sized companies in this network is higher than the one of large-sized companies. © Springer International Publishing AG 2018.</t>
  </si>
  <si>
    <t>10.1007/978-3-319-74225-0_21</t>
  </si>
  <si>
    <t>Dispatching Strategies of Drayage Trucks at Seaport Container Terminals with Truck Appointment System</t>
  </si>
  <si>
    <t>REF_025</t>
  </si>
  <si>
    <t>Aiming at the problem that TSP emissions in dry bulk terminals are uncertain due to the selection of parameters, the influence of different parameters on the uncertainty of particulate emissions in dry bulk terminals was studied. The study established the TSP emission system dynamics model for dry bulk terminals, and quantitatively calculated the TSP emission uncertainties of four parameters, namely "Water action coefficient, homework divide", "Water in material", "Operation TSP up to the maximum TSP up to half of the wind speed", under the normal distribution. The results show that the wharf TSP emission is greatly influenced by parameters, and the maximum emission fluctuates as high as 122% compared with the expected value. The ship loading and Translation operations are greatly influenced by the value of the discharge parameters, and the TSP emission stored in the yard is hardly affected. © Published under licence by IOP Publishing Ltd.</t>
  </si>
  <si>
    <t>10.1088/1755-1315/585/1/012146</t>
  </si>
  <si>
    <t>Study on the uncertainty of TSP emissions in dry bulk terminals</t>
  </si>
  <si>
    <t>REF_024</t>
  </si>
  <si>
    <t>Mega vessels currently play a vital role in maritime transportation and their deployment may have significant impacts on container terminal operations. This study is concerned with the impact analysis of mega vessels on container terminal operations. First, the container operation process at a container terminal is formulated as a queuing network. Based on the queuing network, a simulation model is then developed. Because of the computational complexity of the simulation, the ARENA © software tool is used to solve the developed model, based on a realistic case involving the Hong Kong port. The case analysis comprises ten scenarios that represent current and possible future situations regarding the utilization of more mega container vessels. The results suggest that the current port facilities may not be sufficient to accommodate more mega container vessels. © 2017 The Authors. Published by Elsevier B.V.</t>
  </si>
  <si>
    <t>Transportation Research Procedia</t>
  </si>
  <si>
    <t>REF_023</t>
  </si>
  <si>
    <t>Container terminal operators are under pressure to handle the increasing amount of container transfer in the global transportation network. To manage the growth, new container terminals are built or the capacity of existing ones is expanded using modern container handling technologies as well as automatic equipment. An efficient layout of the container terminal is crucial to obtain the maximum capacity. In this paper we present an approach based on a mixed integer linear model to find promising layout configurations for container terminals. Means of simulation are used to validate and evaluate the attained layout configuration. In addition the adequacy of the mixed integer linear model for planning layouts of container terminals is evaluated using the developed simulation model. © 2009 Inderscience Enterprises Ltd.</t>
  </si>
  <si>
    <t>10.1504/IJSPM.2009.032594</t>
  </si>
  <si>
    <t>Mathematical programming and simulation based layout planning of container terminals</t>
  </si>
  <si>
    <t>REF_022</t>
  </si>
  <si>
    <t>REF_021</t>
  </si>
  <si>
    <t>Dry bulk terminals, located near the deep sea, are used all around the world to handle large quantities of bulk materials, like coal and iron ore. Bulk materials are transported within the terminal using routes of interconnected belt conveyors. Due to several sources of uncertainty, such as the delays of ships and trains and disturbances of terminal equipment, selecting routes is complicated and is now predominately based on the human operators' experiences. This paper focuses on route selection to transport the materials. A decision support system is proposed that assists a human operator in making the best decision. The proposed, so-called Dynamic Planner consists of a primary simulation model, that simulates the dynamics of the terminal, and within this primary simulation model, a secondary simulation model that simulates and proposes routes. The Dynamic Planner can be a useful tool for assisting terminal planners to select routes on forehand or to present alternative routes if a conveyor or machine breaks down. Practical experiments are carried out in order to assess the performance of the proposed Dynamic Planner. It is found that the determined routes generally correspond with at least the routes selected by the human operator, while in some cases even providing better alternatives. © 2012 IEEE.</t>
  </si>
  <si>
    <t>10.1109/ICNSC.2012.6204894</t>
  </si>
  <si>
    <t>Proceedings of 2012 9th IEEE International Conference on Networking, Sensing and Control, ICNSC 2012</t>
  </si>
  <si>
    <t>Simulation-based operational control of a dry bulk terminal</t>
  </si>
  <si>
    <t>REF_020</t>
  </si>
  <si>
    <t>Maritime container terminals play an important role in global supply chains. In addition to the rapid handling of containers, the reduction of CO2 emissions is also increasingly crucial for terminal operators. This can be achieved by integrating renewable sources such as photovoltaic or wind energy. While energy supply and demand must be in balance, the amount of energy produced through renewable sources cannot be controlled as it depends exclusively on variable weather conditions. One option for efficient use of renewable energy sources is to modify energy consumption by intelligently controlling processes. This study aims to answer the question to what extent energy intensive consumption processes at container terminals can be adapted to a volatile energy supply. A discrete event simulation study is conducted to analyze handling processes by quay cranes as main energy consumers depending on the availability of photovoltaic energy. Therefore, the operating times of quay cranes are partially limited to daylight hours. Only a low number of quay cranes is deliberately deployed when a time window occurs between the predicted end of loading of the vessel and a departure time of the vessel determined by the tidal range. The simulation results show that by flexibly using certain quay cranes only during daylight hours the percentage of energy produced by renewable resources can be increased by up to 50%. As a result, handling-related CO2 emissions can be reduced. The study offers an approach to a sustainable energy supply on terminals by reconciling energy use and environmentally friendly generation. © 2022, The Author(s), under exclusive license to Springer Nature Switzerland AG.</t>
  </si>
  <si>
    <t>10.1007/978-3-031-05359-7_13</t>
  </si>
  <si>
    <t>Integration of Renewable Energies at Maritime Container Terminals</t>
  </si>
  <si>
    <t>REF_019</t>
  </si>
  <si>
    <t>Although container liner shipping has strict planning regulations, there are still uncertainties in practical operations due to weather and other reasons, which have a significant impact on the container terminal berth planning. In response to this problem, this paper investigates the deviation rule of the operation law of container liners and constructs a berth planning optimization model based on the operation time uncertainty. A solution algorithm is designed, in which a genetic algorithm is applied as the outer framework and the simulation process is embedded. According to the characteristics of the problem, an initial population generation strategy is designed to facilitate the solution algorithm. Finally, a case study based on the Dalian port container terminal is carried out to optimize the berth planning under uncertain time. Case results verify the effectiveness of the model and algorithm. Copyright © 2020 by Science Press.</t>
  </si>
  <si>
    <t>10.16097/j.cnki.1009-6744.2020.04.032</t>
  </si>
  <si>
    <t>A Simulation-based Optimization Approach to Container Terminal Berth Planning Under Time Uncertainty; [基于时间不确定的集装箱码头靠泊计划优化]</t>
  </si>
  <si>
    <t>REF_018</t>
  </si>
  <si>
    <t>The Development and Zoning Plan (PDZ) for the port complex of Santos estimates that the share of the railway system in cargo handling will reach about 40% by 2040. Thus, it is necessary to implement projects that improve productivity and increase the railway system’s capacity; therefore, it may function with such higher demand. To decide and evaluate investments, we developed a simulation model on the Arena® software, considering the randomness and dynamism of the interaction between the railway and the terminals on the right bank of Santos port. To validate our model, we verified the adhesion results for the simulation for the realized values. From this analysis, we obtained 95% for the number of unloaded cars and 90% for the cycle time. Then, we evaluated the cycle time gain within two investment scenarios. The first scenario comprises a project that aims to increase the productivity of the discharge of grain hoppers from Terminal G; the second encompasses the construction of viaducts and walkways to remove the speed restrictions of the trains for circulation. In the first scenario, our simulation showed a ~4% decrease in the wagon cycle on the right bank, which corresponds to a saving of around 1.2 million dollars. For the second scenario, the simulation showed a 7% decrease in the right bank cycle, thus saving 2.1 million dollars. Therefore, the model presented in this study allows the evaluation of several scenarios and also provides a consistent technical basis for decision making from an integrated view of the railway and port terminals. © 2020 WIT Press.</t>
  </si>
  <si>
    <t>10.2495/CR200201</t>
  </si>
  <si>
    <t>WIT Transactions on the Built Environment</t>
  </si>
  <si>
    <t>Integrated view of railroad and port terminals: A study on the port of santos, brazil</t>
  </si>
  <si>
    <t>REF_017</t>
  </si>
  <si>
    <t>Port container terminal is one of the important transition points in the shipping industry. Competitiveness is an important factor for port container terminal with the increase in the number of port terminals globally. Vessel processing time port terminals is one of the important factors that influence the port terminal attractiveness. In addition, most port terminals tried to reduce ship waiting time with enhancement of their facilities. This paper focused on the ship waiting time at the berthing area of port container terminal, and tried to solve the queuing problem at ship tugging operation in order to reduce the average waiting time. The data was collected from a major port container terminal in Malaysia as a case study. The port terminal is modeled with Arena 13.5 simulation software and model validation was done based on real data which was taken from the case study. Different scenarios were then tested on the tugging operation at the port simulation model. The results show that after the implementation of these scenarios, the average ship waiting time at the berthing area decreased dramatically from 180 hours to 140 hours for each ship. © 2014 Penerbit UTM Press. All rights reserved.</t>
  </si>
  <si>
    <t>10.11113/jt.v68.2931</t>
  </si>
  <si>
    <t>Jurnal Teknologi (Sciences and Engineering)</t>
  </si>
  <si>
    <t>Reduction of ship waiting time at port container terminal through enhancement of the tug/pilot machine operation</t>
  </si>
  <si>
    <t>REF_016</t>
  </si>
  <si>
    <t>Faced with increasing growth of container throughput and more large ships, it is necessary to improve efficiency of container terminals. This paper applies simulation and optimization technology to mimic and optimize equipment scheduling tasks in container terminals. Firstly, we propose a two-layer embedded framework, which can avoid the separation of simulation and optimization. In addition, we apply an improved Agent-based Multi-Resolution Modeling (AMRM) method to establish simulation models according to different entities of container terminals. AMRM can escape from inconsistency problem caused by MRM method. Then an improved Ant Colony Optimization (ACO) Algorithm is introduced to optimize scheduling outputs of simulation. During the process of seeking, ants can change the size of colony adoptively and incline to select the equipment which cost less. Finally, we examine the performance of optimization of tugboat equipment scheduling in container terminals and obtain satisfactory results. It is suggested that AMRM modeling method and ACO Algorithm is well suited for application in practice. © 2006 IEEE.</t>
  </si>
  <si>
    <t>10.1109/COGINF.2006.365708</t>
  </si>
  <si>
    <t>Proceedings of the 5th IEEE International Conference on Cognitive Informatics, ICCI 2006</t>
  </si>
  <si>
    <t>Simulation modeling and optimization for equipment scheduling in container terminals</t>
  </si>
  <si>
    <t>REF_015</t>
  </si>
  <si>
    <t>Scheduling of operational activities is a key step in port management. Port operation scheduling in China is normally based on empirical procedures that result in long ship berthing time, uneven distribution of duty cycle of machinery, and serious yard-block congestion. In view of this, this paper presents a simulation model for scheduling container terminals. The model provides information on equipment and port utilization as well as operational processes, thus providing managers with a valuable decision support tool for port operation scheduling. Copyright ASCE 2008.</t>
  </si>
  <si>
    <t>Transportation and Development Innovative Best Practices 2008 - Proceedings of the 1st International Symposium on Transportation and Development Innovative Best Practices 2008, TDIBP 2008</t>
  </si>
  <si>
    <t>Optimization of production scheduling in container terminals using computer simulation</t>
  </si>
  <si>
    <t>REF_014</t>
  </si>
  <si>
    <t>The competitiveness among container terminals is growing due to the positive growth of containerised shipping. The ability to provide efficient services very much depend on the overall efficiency of the container terminal. However, the operation of the container terminal is complex and consists of many subsystems such as the berth and yard. Moreover, the planning and decision making of the berth and yard are usually conducted separately, not as a whole. Therefore, with the lack of integration between these two major subsystems, terminal managers fail to see the impact of the decision made at the berth to the yard and vice versa. This paper presents the application of system dynamics simulation into capturing the operation processes of the berth and yard. The system dynamics model is able to enhance the understanding on the interdependency and relationship between these two subsystems, thus assisting the terminal managers in decision making. Copyright © 2010 Inderscience Enterprises Ltd.</t>
  </si>
  <si>
    <t>REF_013</t>
  </si>
  <si>
    <t>This paper presents a simulation model to determine the impact of various container inspection protocols on die operation of a seaport container terminal. The inspection protocols are A) no inspection, B) container sampling with unloading and inspection coupled and C) inspection after unloading or decoupling inspection from unloading. Any sampling plan using Protocol B had an impact on entity throughput. Decoupling the inspection from unloading in Protocol C did not impact entity throughput. In fact, entity throughput for Protocol C was similar to no container inspection for Protocol A. Included in this paper are the development of the simulation model, the experiment to evaluate the impact of inspection protocols on port operations, an analysis of the simulation results and conclusions.</t>
  </si>
  <si>
    <t>Proceedings of the 2009 Huntsville Simulation Conference, HSC 2009</t>
  </si>
  <si>
    <t>Security inspection protocols: Container terminal throughput using simulation</t>
  </si>
  <si>
    <t>REF_012</t>
  </si>
  <si>
    <t>This research is focused on the analysis of a container terminal common in industrial zones in urban areas, called the logistic services container terminal (LSCT), defined as a small to medium size inland terminal with no intermodal facilities. The main function of an LSCT is to provide services to a hinterland market. The material handling equipment used is limited to reach stacker cranes and front loaders, and ground transportation in and out is performed using trucks exclusively. Moreover, there are many operations related to servicing customers in special service areas within the yard. In this research, we explicitly recognize the limitations and features associated with the operations within LSCT yards, which means that the problems and solutions must be conceived and addressed in a very unique way, considering that services have to be coordinated with the strategies proposed for managing the movement of containers in and out. This paper characterizes the different aspects present in the treatment of an LSCT and proposes an adapted version of three known greedy decision rules for determining the location for an arriving container. We evaluate the performances of these rules using a discrete-event simulator: the min-max rule outperforms the other tested rules. These rules are also extended to consider the cost of moving relocating containers. The results show that using cost-aware rules while increasing the expected number of relocations reduces the total expected cost significantly. © 2023, The Author(s), under exclusive licence to Springer-Verlag GmbH Germany, part of Springer Nature.</t>
  </si>
  <si>
    <t>Central European Journal of Operations Research</t>
  </si>
  <si>
    <t>REF_011</t>
  </si>
  <si>
    <t>By connecting maritime and land transport, container terminals play a critical role in global logistics systems, as part of broader intermodal networks. The evolution of containerisation and technological advances, along with increased demand and volumes, led to significant adaptations in these terminals, as a way to improve productivity, reduce costs and increase competitiveness, while coping with spatial and operational constraints. For strategic decision-making, managing these complex systems can be enhanced by simulation models allowing the analysis of different scenarios in dynamic, uncertain environments. This work, presents a simulation-based decision support tool developed in the FlexSim software, to analyse different container terminal configurations, with a particular focus on automation and on sustainable practices to reduce the energy consumption of terminals. A discrete event simulation model was developed to study multiple scenarios impacting productivity, resource utilisation, and waiting times. The proposed approach allows the test and evaluation of management strategies for port operations, with preliminary results showing that sizing and planning of the fleets of automated guided vehicles (AGV) can significantly affect the total operating time, the energy consumed, and the costs associated with battery charging operations. Future research should explore additional factors affecting container terminal operations, such as the reorganisation of the storage area, while incorporating optimisation elements for work planning and resource allocation. Moreover, the simulation model will be tested and validated in a real case study, designed for the Port of Sines in Portugal.  © 2024 The Authors.</t>
  </si>
  <si>
    <t>10.1016/j.trpro.2025.04.076</t>
  </si>
  <si>
    <t>A simulation tool for container operations management at seaport terminals</t>
  </si>
  <si>
    <t>REF_010</t>
  </si>
  <si>
    <t>This paper briefly introduces the hybrid simulation modeling formalism via O2DES Framework (object-oriented discrete event simulation), and its application in the modeling of mega container ports. From an object-oriented perspective, this paper first lists the entities involved in container ports and the relationships among them; based on it, the 'event-based' modeling method is illustrated for its necessity in accurately describing the rules of discrete-event systems, with the case of quay cranes and AGVs interacting with handshakes; then, the hierarchical structure of the model is segmented with a 'state-based' modular approach to simplify the process of modeling, as well as the maintenance and reusability of model library; finally, through the 'activity-based' perspective, it provides an macro-level overview on the dynamics of the flowing entities in the system. This paper elaborates the connection and cooperation between multiple methods in the hybrid formalism, hoping to provide guidance for future modeling effort.  © 2022 IEEE.</t>
  </si>
  <si>
    <t>10.1109/WSC57314.2022.10015315</t>
  </si>
  <si>
    <t>Hybrid Simulation Modeling Formalism via O2DES Framework for Mega Container Terminals</t>
  </si>
  <si>
    <t>REF_009</t>
  </si>
  <si>
    <t>This research compares the impact of infrastructure congestion management initiatives at a bulk cargo marine terminal on truck queuing and emissions. Researchers have studied the impact of individual congestion management initiatives in marine terminals extensively. However, limited research has been conducted to comparatively evaluate the impact of several initiatives. Furthermore, researchers have mainly focused on container terminals to the detriment of bulk cargo terminals even though bulk cargo marine terminals can face significant congestion challenges. A discrete-event simulation model of a bulk cargo marine terminal is developed in this research using empirical data collected from weighbridges and truck geo-positioning systems. The model is used to conduct a scenario analysis of several congestion management initiatives and assess their sensitivity to increasing terminal throughput. The performance indicators used are truck turnaround times, waiting times, turnaround time reliability, and engine idling emissions. The modelling results indicate that terminal appointment systems are one of the most effective congestion mitigation initiatives, reducing truck turnaround times by up to 65% and engine idling emissions by up to 80% compared to no intervention. The benefits accrued from terminal infrastructure expansions rival those of appointment systems only in high terminal throughput scenarios. This research contributes to the body of knowledge by presenting an approach that improves understanding of the differential impacts of congestion management initiatives on truck and environmental performance in bulk cargo marine terminals. For practitioners, this research presents congestion management considerations that balance the competitive operational, cost, and efficiency interests of individual port users with tactical and strategic concerns regarding environmental impacts. © 2021 Elsevier B.V.</t>
  </si>
  <si>
    <t>Due to numerous uncertainties such as bad weather conditions, frequent changes in the schedules of vessels, breakdowns of equipment, port managers are aiming at providing adaptive and flexible strategic planning of their facilities, especially intermodal terminals. In this research, we investigate a two-stage optimization of intermodal terminals main parameters via using AnyLogic simulation platform. We have developed a set of hybrid simulation models to optimize the main parameters of intermodal terminals which are also called dry ports. To make an express evaluation of the preliminary implementation of dry ports, we have developed an agent-based system dynamics simulation model to achieve the stable state of the main parameters of intermodal terminals. To clarify the obtained averaged benefits of the main dry ports parameters while the port managers make key decisions on the investments into implementation of intermodal terminals, we have developed an agent-based discrete-event simulation model of a seaport – a dry port system. We show that the combination of the agent-based modeling with other simulation approaches simplifies the process of designing simulation models and increases their visibility. The developed set of models allows us to compute the balanced values of the parameters, while an effective operation of a seaport – intermodal terminal system is achieved. On the basis of the provided case study on one of the busiest ports in China, we prove the adequacy and validity of the developed simulation models. Due to the lack of systematic approach to optimization of the main parameters of intermodal terminals in logistic industry, our findings set herein could improve the decision-making process related to the selection of strategic facility planning in the field of intermodal terminals. © 2020 Elsevier Ltd</t>
  </si>
  <si>
    <t>International Journal of Information Management</t>
  </si>
  <si>
    <t>Information technology has become an essential part of the rapid and accurate transfer and processing of enormous volumes of data processed in international transport firms and port organisations. The proper management of systems, which process this information and communicate it to those who manage port operations, is vital for efficient transport. This explains why container-tracking systems are given high priority among operational computer applications in ports. Investigates the importance of information technology and its role in improving the operational systems in cargo handling. A computer simulation model is developed to compare two different operational systems - a container terminal equipped with electronic devices versus a terminal without such devices. The importance of information technology in supply-chain management is also discussed. © MCB University Press.</t>
  </si>
  <si>
    <t>10.1108/09600030010326118</t>
  </si>
  <si>
    <t>International Journal of Physical Distribution and Logistics Management</t>
  </si>
  <si>
    <t>The importance of information technology in port terminal operations</t>
  </si>
  <si>
    <t>REF_006</t>
  </si>
  <si>
    <t>In this paper, new rules for vehicles real-time dispatching in container terminals are presented in the environment of digital technique based on the traditional vehicles dispatching mode. Dynamic simulation modules of the two dispatching modes are built. Their effects on terminal's production are compared by experiments and analyses. The results show that the new rules are reasonable and maneuverable.</t>
  </si>
  <si>
    <t>Optimization and simulation of vehicles dispatching in container terminals</t>
  </si>
  <si>
    <t>REF_005</t>
  </si>
  <si>
    <t>We verify that many unmanned container transporter (UCT) are controlled flexibly by searching shortest time path and applying supervisory control. Using the shortest path searching algorithm and link-occupation timetable, the system searches shortest time path. In addition, using the discrete event system modeling of UCT and event driven solution when unexpected problem is occurred, a supervisory controller is established. These path-searching algorithm and supervisory controller guarantee fast and safe operation of UCTs. Experimental results of positional acquisition and computer simulation show the effectiveness of the proposed system. © 2000 IEEE.</t>
  </si>
  <si>
    <t>10.1109/KORUS.2000.866027</t>
  </si>
  <si>
    <t>Proceedings - KORUS 2000: 4th Korea-Russia International Symposium on Science and Technology</t>
  </si>
  <si>
    <t>Optimal supervisory control systems for automated unmanned container transporters in the automated container terminals</t>
  </si>
  <si>
    <t>REF_004</t>
  </si>
  <si>
    <t>The article presents the container storage problem in the rail-road intermodal terminal. This issue was considered from the point of view of the distance traveled by transshipment devices and the loading work duration. For the purposes of the research, the processes of a container handling in the rail-road intermodal terminal were presented in detail. A review of the literature in the field of container storage methods and strategies was carried out. A simulation model, which proposed 4 variants of the containers distribution in the storage areas as a function of their distribution on the train in the FlexSim environment was developed. © 2018 Kaunas University of Technology. All rights reserved.</t>
  </si>
  <si>
    <t>Containers storage strategy at the rail-road intermodal terminal</t>
  </si>
  <si>
    <t>REF_003</t>
  </si>
  <si>
    <t>Maritime container terminals are playing a growing role within global transport chains. As intermodal nodes between sea traffic flows and inland distribution, they are very important to shipping lines. The current trend of moving towards economies of scale in regard to mother vessels is also having a tremendous impact on seaport operations and hinterland transportation in terms of call size. This paper deals with the study of multimodal container flows at an Italian maritime terminal, focusing the attention on the performance of road and rail connections. In this framework, the current modal unbalance generates heavy problems of congestion and compromises the overall terminal competitiveness. This paper applies a discrete event simulation approach, in order to evaluate the feasibility of an alternative and more balanced scenario achievable in a short-mid-term perspective. Our goal is to enhance the performance of rail connections, without proposing the realisation of a new railway line which is only attainable in the long run, but trying to exploit to the full the available endowment of assets through a deep operational restructuring. Simulation runs performed in this perspective revealed the adequacy of such an approach and demonstrated the successful effects of a modal re-equilibrium. © 2009 Palgrave Macmillan.</t>
  </si>
  <si>
    <t>REF_002</t>
  </si>
  <si>
    <t>As international trade and freight volumes increase, there is a growing port congestion problem, leading to the long truck queues at US marine terminal gates. To address this problem, some countermeasures have been proposed and implemented for reducing truck queue length at marine terminals. To assess the effectiveness of these countermeasures, a method for accurately estimating terminal gate truck queue length is needed. This study developed a new method, named the state-dependent approximation method, for estimating the truck queue length at marine terminals. Based on the simulation of the truck queuing system, it was found that it takes several hours for the truck queue length to reach its steady state, and neglecting the queue formation (queue dispersion) processes will cause overestimation (underestimation) of truck queue length. The developed model can take into account the queue formation and dispersion processes, and it can be used to estimate the truck queue length caused by short-term oversaturation at marine terminals. For model evaluation, a simulation-based case study was conducted to evaluate the prediction accuracy of the developed model by comparing its results with the simulated queue lengths and the results of other four existing methods, including the fluid flow model, the M/M/S queuing model, and a simulation-based regression model developed a previous study. The evaluation results indicate that the developed model outperformed the other four modeling methods for different states of queue formation and dispersion processes. In addition, this new method can accurately estimate the truck queue length caused by the short-term system oversaturation during peak hours. Therefore, it will be useful for assessing the effectiveness of the countermeasures that are targeted at reducing the peak-hour congestion at marine terminals. © 2021 by the authors. Licensee MDPI, Basel, Switzerland.</t>
  </si>
  <si>
    <t>10.3390/su13052917</t>
  </si>
  <si>
    <t>A state-dependent approximation method for estimating truck queue length at marine terminals</t>
  </si>
  <si>
    <t>Status</t>
  </si>
  <si>
    <t>Abstract</t>
  </si>
  <si>
    <t>DOI</t>
  </si>
  <si>
    <t>Language</t>
  </si>
  <si>
    <t>Source_DB</t>
  </si>
  <si>
    <t>Document Type</t>
  </si>
  <si>
    <t>Source title</t>
  </si>
  <si>
    <t>Year</t>
  </si>
  <si>
    <t>Title</t>
  </si>
  <si>
    <t>Document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</si>
</sst>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scheme val="minor"/>
    </font>
    <font>
      <b/>
      <sz val="12"/>
      <color rgb="FFFFFFFF"/>
      <name val="Arial"/>
      <family val="2"/>
    </font>
    <font>
      <sz val="11"/>
      <name val="Calibri"/>
      <family val="2"/>
    </font>
    <font>
      <b/>
      <sz val="9"/>
      <color rgb="FF000000"/>
      <name val="Arial"/>
      <family val="2"/>
    </font>
    <font>
      <b/>
      <sz val="9"/>
      <color rgb="FFFFFFFF"/>
      <name val="Arial"/>
      <family val="2"/>
    </font>
    <font>
      <sz val="9"/>
      <color rgb="FF000000"/>
      <name val="Arial"/>
      <family val="2"/>
    </font>
    <font>
      <b/>
      <sz val="9"/>
      <color rgb="FF375623"/>
      <name val="Arial"/>
      <family val="2"/>
    </font>
    <font>
      <b/>
      <sz val="9"/>
      <color rgb="FFC00000"/>
      <name val="Arial"/>
      <family val="2"/>
    </font>
    <font>
      <b/>
      <sz val="13"/>
      <color rgb="FFFFFFFF"/>
      <name val="Arial"/>
      <family val="2"/>
    </font>
    <font>
      <b/>
      <sz val="11"/>
      <color rgb="FFFFFFFF"/>
      <name val="Arial"/>
      <family val="2"/>
    </font>
    <font>
      <b/>
      <sz val="10"/>
      <color rgb="FF000000"/>
      <name val="Arial"/>
      <family val="2"/>
    </font>
    <font>
      <sz val="10"/>
      <color rgb="FF375623"/>
      <name val="Arial"/>
      <family val="2"/>
    </font>
    <font>
      <sz val="10"/>
      <color rgb="FFC00000"/>
      <name val="Arial"/>
      <family val="2"/>
    </font>
    <font>
      <sz val="10"/>
      <color rgb="FF000000"/>
      <name val="Arial"/>
      <family val="2"/>
    </font>
    <font>
      <sz val="12"/>
      <color theme="1"/>
      <name val="Calibri"/>
      <family val="2"/>
      <scheme val="minor"/>
    </font>
    <font>
      <sz val="9"/>
      <color theme="1"/>
      <name val="Arial"/>
      <family val="2"/>
    </font>
  </fonts>
  <fills count="22">
    <fill>
      <patternFill patternType="none"/>
    </fill>
    <fill>
      <patternFill patternType="gray125"/>
    </fill>
    <fill>
      <patternFill patternType="solid">
        <fgColor rgb="FF1F3864"/>
        <bgColor rgb="FF1F3864"/>
      </patternFill>
    </fill>
    <fill>
      <patternFill patternType="solid">
        <fgColor rgb="FFBDD7EE"/>
        <bgColor rgb="FFBDD7EE"/>
      </patternFill>
    </fill>
    <fill>
      <patternFill patternType="solid">
        <fgColor rgb="FF7B2D00"/>
        <bgColor rgb="FF7B2D00"/>
      </patternFill>
    </fill>
    <fill>
      <patternFill patternType="solid">
        <fgColor rgb="FF843C0C"/>
        <bgColor rgb="FF843C0C"/>
      </patternFill>
    </fill>
    <fill>
      <patternFill patternType="solid">
        <fgColor rgb="FF2E75B6"/>
        <bgColor rgb="FF2E75B6"/>
      </patternFill>
    </fill>
    <fill>
      <patternFill patternType="solid">
        <fgColor rgb="FF2F5496"/>
        <bgColor rgb="FF2F5496"/>
      </patternFill>
    </fill>
    <fill>
      <patternFill patternType="solid">
        <fgColor rgb="FF1F6B4E"/>
        <bgColor rgb="FF1F6B4E"/>
      </patternFill>
    </fill>
    <fill>
      <patternFill patternType="solid">
        <fgColor rgb="FF7B2D8B"/>
        <bgColor rgb="FF7B2D8B"/>
      </patternFill>
    </fill>
    <fill>
      <patternFill patternType="solid">
        <fgColor rgb="FFFCE4D6"/>
        <bgColor rgb="FFFCE4D6"/>
      </patternFill>
    </fill>
    <fill>
      <patternFill patternType="solid">
        <fgColor rgb="FFFCE9D4"/>
        <bgColor rgb="FFFCE9D4"/>
      </patternFill>
    </fill>
    <fill>
      <patternFill patternType="solid">
        <fgColor rgb="FFDAE3F3"/>
        <bgColor rgb="FFDAE3F3"/>
      </patternFill>
    </fill>
    <fill>
      <patternFill patternType="solid">
        <fgColor rgb="FFC6EFCE"/>
        <bgColor rgb="FFC6EFCE"/>
      </patternFill>
    </fill>
    <fill>
      <patternFill patternType="solid">
        <fgColor rgb="FFEAD1F5"/>
        <bgColor rgb="FFEAD1F5"/>
      </patternFill>
    </fill>
    <fill>
      <patternFill patternType="solid">
        <fgColor rgb="FFE2EFDA"/>
        <bgColor rgb="FFE2EFDA"/>
      </patternFill>
    </fill>
    <fill>
      <patternFill patternType="solid">
        <fgColor rgb="FFDEEAF1"/>
        <bgColor rgb="FFDEEAF1"/>
      </patternFill>
    </fill>
    <fill>
      <patternFill patternType="solid">
        <fgColor rgb="FFFFFFFF"/>
        <bgColor rgb="FFFFFFFF"/>
      </patternFill>
    </fill>
    <fill>
      <patternFill patternType="solid">
        <fgColor rgb="FFFFF2CC"/>
        <bgColor rgb="FFFFF2CC"/>
      </patternFill>
    </fill>
    <fill>
      <patternFill patternType="solid">
        <fgColor rgb="FFF2F2F2"/>
        <bgColor rgb="FFF2F2F2"/>
      </patternFill>
    </fill>
    <fill>
      <patternFill patternType="solid">
        <fgColor rgb="FFC00000"/>
        <bgColor rgb="FFC00000"/>
      </patternFill>
    </fill>
    <fill>
      <patternFill patternType="solid">
        <fgColor rgb="FFFFFF00"/>
        <bgColor rgb="FFEAD1F5"/>
      </patternFill>
    </fill>
  </fills>
  <borders count="10">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4" fillId="0" borderId="3"/>
  </cellStyleXfs>
  <cellXfs count="62">
    <xf numFmtId="0" fontId="0" fillId="0" borderId="0" xfId="0"/>
    <xf numFmtId="0" fontId="3" fillId="3" borderId="4" xfId="0" applyFont="1" applyFill="1" applyBorder="1" applyAlignment="1">
      <alignment horizontal="center" vertical="center" wrapText="1"/>
    </xf>
    <xf numFmtId="0" fontId="4" fillId="4" borderId="4"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3" fillId="10" borderId="4" xfId="0" applyFont="1" applyFill="1" applyBorder="1" applyAlignment="1">
      <alignment horizontal="center" vertical="center" wrapText="1"/>
    </xf>
    <xf numFmtId="0" fontId="3" fillId="11" borderId="4" xfId="0" applyFont="1" applyFill="1" applyBorder="1" applyAlignment="1">
      <alignment horizontal="center" vertical="center" wrapText="1"/>
    </xf>
    <xf numFmtId="0" fontId="3" fillId="12" borderId="4" xfId="0" applyFont="1" applyFill="1" applyBorder="1" applyAlignment="1">
      <alignment horizontal="center" vertical="center" wrapText="1"/>
    </xf>
    <xf numFmtId="0" fontId="3" fillId="13" borderId="4" xfId="0" applyFont="1" applyFill="1" applyBorder="1" applyAlignment="1">
      <alignment horizontal="center" vertical="center" wrapText="1"/>
    </xf>
    <xf numFmtId="0" fontId="3" fillId="14" borderId="4" xfId="0" applyFont="1" applyFill="1" applyBorder="1" applyAlignment="1">
      <alignment horizontal="center" vertical="center" wrapText="1"/>
    </xf>
    <xf numFmtId="0" fontId="5" fillId="15" borderId="4" xfId="0" applyFont="1" applyFill="1" applyBorder="1" applyAlignment="1">
      <alignment horizontal="center" vertical="center" wrapText="1"/>
    </xf>
    <xf numFmtId="0" fontId="6" fillId="15" borderId="4" xfId="0" applyFont="1" applyFill="1" applyBorder="1" applyAlignment="1">
      <alignment horizontal="center" vertical="center" wrapText="1"/>
    </xf>
    <xf numFmtId="0" fontId="5" fillId="15" borderId="4" xfId="0" applyFont="1" applyFill="1" applyBorder="1" applyAlignment="1">
      <alignment horizontal="left" vertical="center" wrapText="1"/>
    </xf>
    <xf numFmtId="0" fontId="5" fillId="16" borderId="4" xfId="0" applyFont="1" applyFill="1" applyBorder="1" applyAlignment="1">
      <alignment horizontal="center" vertical="center" wrapText="1"/>
    </xf>
    <xf numFmtId="0" fontId="5" fillId="17" borderId="4" xfId="0" applyFont="1" applyFill="1" applyBorder="1" applyAlignment="1">
      <alignment horizontal="center" vertical="center" wrapText="1"/>
    </xf>
    <xf numFmtId="0" fontId="5" fillId="17" borderId="4" xfId="0" applyFont="1" applyFill="1" applyBorder="1" applyAlignment="1">
      <alignment horizontal="left" vertical="center" wrapText="1"/>
    </xf>
    <xf numFmtId="0" fontId="5" fillId="10" borderId="4" xfId="0" applyFont="1" applyFill="1" applyBorder="1" applyAlignment="1">
      <alignment horizontal="center" vertical="center" wrapText="1"/>
    </xf>
    <xf numFmtId="0" fontId="5" fillId="18" borderId="4" xfId="0" applyFont="1" applyFill="1" applyBorder="1" applyAlignment="1">
      <alignment horizontal="center" vertical="center" wrapText="1"/>
    </xf>
    <xf numFmtId="0" fontId="3" fillId="18" borderId="4" xfId="0" applyFont="1" applyFill="1" applyBorder="1" applyAlignment="1">
      <alignment horizontal="center" vertical="center" wrapText="1"/>
    </xf>
    <xf numFmtId="0" fontId="5" fillId="18" borderId="4" xfId="0" applyFont="1" applyFill="1" applyBorder="1" applyAlignment="1">
      <alignment horizontal="left" vertical="center" wrapText="1"/>
    </xf>
    <xf numFmtId="0" fontId="7" fillId="10" borderId="4" xfId="0" applyFont="1" applyFill="1" applyBorder="1" applyAlignment="1">
      <alignment horizontal="center" vertical="center" wrapText="1"/>
    </xf>
    <xf numFmtId="0" fontId="5" fillId="10" borderId="4" xfId="0" applyFont="1" applyFill="1" applyBorder="1" applyAlignment="1">
      <alignment horizontal="left" vertical="center" wrapText="1"/>
    </xf>
    <xf numFmtId="0" fontId="5" fillId="19" borderId="4" xfId="0" applyFont="1" applyFill="1" applyBorder="1" applyAlignment="1">
      <alignment horizontal="center" vertical="center" wrapText="1"/>
    </xf>
    <xf numFmtId="0" fontId="5" fillId="19" borderId="4" xfId="0" applyFont="1" applyFill="1" applyBorder="1" applyAlignment="1">
      <alignment horizontal="left" vertical="center" wrapText="1"/>
    </xf>
    <xf numFmtId="0" fontId="3" fillId="15" borderId="4" xfId="0" applyFont="1" applyFill="1" applyBorder="1" applyAlignment="1">
      <alignment horizontal="center" vertical="center" wrapText="1"/>
    </xf>
    <xf numFmtId="0" fontId="10" fillId="3" borderId="4" xfId="0" applyFont="1" applyFill="1" applyBorder="1" applyAlignment="1">
      <alignment horizontal="center" vertical="center" wrapText="1"/>
    </xf>
    <xf numFmtId="0" fontId="11" fillId="15" borderId="4" xfId="0" applyFont="1" applyFill="1" applyBorder="1" applyAlignment="1">
      <alignment horizontal="center" vertical="center"/>
    </xf>
    <xf numFmtId="0" fontId="12" fillId="10" borderId="4" xfId="0" applyFont="1" applyFill="1" applyBorder="1" applyAlignment="1">
      <alignment horizontal="center" vertical="center"/>
    </xf>
    <xf numFmtId="0" fontId="13" fillId="18" borderId="4" xfId="0" applyFont="1" applyFill="1" applyBorder="1" applyAlignment="1">
      <alignment horizontal="center" vertical="center"/>
    </xf>
    <xf numFmtId="0" fontId="10" fillId="18" borderId="4" xfId="0" applyFont="1" applyFill="1" applyBorder="1" applyAlignment="1">
      <alignment horizontal="center" vertical="center"/>
    </xf>
    <xf numFmtId="0" fontId="10" fillId="15" borderId="4" xfId="0" applyFont="1" applyFill="1" applyBorder="1" applyAlignment="1">
      <alignment horizontal="center" vertical="center" wrapText="1"/>
    </xf>
    <xf numFmtId="0" fontId="5" fillId="18" borderId="5" xfId="0" applyFont="1" applyFill="1" applyBorder="1" applyAlignment="1">
      <alignment horizontal="left" vertical="center" wrapText="1"/>
    </xf>
    <xf numFmtId="0" fontId="14" fillId="0" borderId="3" xfId="1"/>
    <xf numFmtId="0" fontId="15" fillId="18" borderId="4" xfId="1" applyFont="1" applyFill="1" applyBorder="1" applyAlignment="1">
      <alignment horizontal="center" vertical="center"/>
    </xf>
    <xf numFmtId="0" fontId="15" fillId="19" borderId="4" xfId="1" applyFont="1" applyFill="1" applyBorder="1" applyAlignment="1">
      <alignment horizontal="left" vertical="center"/>
    </xf>
    <xf numFmtId="0" fontId="15" fillId="19" borderId="4" xfId="1" applyFont="1" applyFill="1" applyBorder="1" applyAlignment="1">
      <alignment horizontal="center" vertical="center"/>
    </xf>
    <xf numFmtId="0" fontId="15" fillId="17" borderId="4" xfId="1" applyFont="1" applyFill="1" applyBorder="1" applyAlignment="1">
      <alignment horizontal="left" vertical="center"/>
    </xf>
    <xf numFmtId="0" fontId="15" fillId="17" borderId="4" xfId="1" applyFont="1" applyFill="1" applyBorder="1" applyAlignment="1">
      <alignment horizontal="center" vertical="center"/>
    </xf>
    <xf numFmtId="0" fontId="3" fillId="15" borderId="4" xfId="1" applyFont="1" applyFill="1" applyBorder="1" applyAlignment="1">
      <alignment horizontal="center" vertical="center"/>
    </xf>
    <xf numFmtId="0" fontId="3" fillId="3" borderId="4" xfId="1" applyFont="1" applyFill="1" applyBorder="1" applyAlignment="1">
      <alignment horizontal="center" vertical="center"/>
    </xf>
    <xf numFmtId="0" fontId="3" fillId="21" borderId="8" xfId="0" applyFont="1" applyFill="1" applyBorder="1" applyAlignment="1">
      <alignment horizontal="center" vertical="center" wrapText="1"/>
    </xf>
    <xf numFmtId="0" fontId="5" fillId="15" borderId="5" xfId="0" applyFont="1" applyFill="1" applyBorder="1" applyAlignment="1">
      <alignment horizontal="left" vertical="center" wrapText="1"/>
    </xf>
    <xf numFmtId="0" fontId="5" fillId="17" borderId="5" xfId="0" applyFont="1" applyFill="1" applyBorder="1" applyAlignment="1">
      <alignment horizontal="left" vertical="center" wrapText="1"/>
    </xf>
    <xf numFmtId="0" fontId="5" fillId="10" borderId="5" xfId="0" applyFont="1" applyFill="1" applyBorder="1" applyAlignment="1">
      <alignment horizontal="left" vertical="center" wrapText="1"/>
    </xf>
    <xf numFmtId="0" fontId="0" fillId="0" borderId="9" xfId="0" applyBorder="1"/>
    <xf numFmtId="0" fontId="1" fillId="2" borderId="1" xfId="0" applyFont="1" applyFill="1" applyBorder="1" applyAlignment="1">
      <alignment horizontal="center" vertical="center" wrapText="1"/>
    </xf>
    <xf numFmtId="0" fontId="2" fillId="0" borderId="2" xfId="0" applyFont="1" applyBorder="1"/>
    <xf numFmtId="0" fontId="2" fillId="0" borderId="3" xfId="0" applyFont="1" applyBorder="1"/>
    <xf numFmtId="0" fontId="4" fillId="6" borderId="5" xfId="0" applyFont="1" applyFill="1" applyBorder="1" applyAlignment="1">
      <alignment horizontal="center" vertical="center" wrapText="1"/>
    </xf>
    <xf numFmtId="0" fontId="2" fillId="0" borderId="6" xfId="0" applyFont="1" applyBorder="1"/>
    <xf numFmtId="0" fontId="2" fillId="0" borderId="7" xfId="0" applyFont="1" applyBorder="1"/>
    <xf numFmtId="0" fontId="4" fillId="7" borderId="5" xfId="0" applyFont="1" applyFill="1" applyBorder="1" applyAlignment="1">
      <alignment horizontal="center" vertical="center" wrapText="1"/>
    </xf>
    <xf numFmtId="0" fontId="4" fillId="8" borderId="5" xfId="0" applyFont="1" applyFill="1" applyBorder="1" applyAlignment="1">
      <alignment horizontal="center" vertical="center" wrapText="1"/>
    </xf>
    <xf numFmtId="0" fontId="4" fillId="9" borderId="5" xfId="0" applyFont="1" applyFill="1" applyBorder="1" applyAlignment="1">
      <alignment horizontal="center" vertical="center" wrapText="1"/>
    </xf>
    <xf numFmtId="0" fontId="1" fillId="20"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1" fillId="8" borderId="1" xfId="0" applyFont="1" applyFill="1" applyBorder="1" applyAlignment="1">
      <alignment horizontal="center" vertical="center" wrapText="1"/>
    </xf>
    <xf numFmtId="0" fontId="5" fillId="18" borderId="5" xfId="0" applyFont="1" applyFill="1" applyBorder="1" applyAlignment="1">
      <alignment horizontal="left" vertical="center" wrapText="1"/>
    </xf>
    <xf numFmtId="0" fontId="5" fillId="11" borderId="5"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9" fillId="6" borderId="5" xfId="0" applyFont="1" applyFill="1" applyBorder="1" applyAlignment="1">
      <alignment horizontal="center" vertical="center" wrapText="1"/>
    </xf>
    <xf numFmtId="0" fontId="9" fillId="8" borderId="5" xfId="0" applyFont="1" applyFill="1" applyBorder="1" applyAlignment="1">
      <alignment horizontal="center" vertical="center" wrapText="1"/>
    </xf>
    <xf numFmtId="0" fontId="9" fillId="5" borderId="5" xfId="0" applyFont="1" applyFill="1" applyBorder="1" applyAlignment="1">
      <alignment horizontal="center" vertical="center" wrapText="1"/>
    </xf>
  </cellXfs>
  <cellStyles count="2">
    <cellStyle name="Normal" xfId="0" builtinId="0"/>
    <cellStyle name="Normal 2" xfId="1" xr:uid="{98368E73-AB0E-471D-84E0-D7555203636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3BC5E-2457-47D2-AFBE-288F2B5735FA}">
  <dimension ref="A1:J1000"/>
  <sheetViews>
    <sheetView topLeftCell="A116" workbookViewId="0">
      <selection activeCell="M133" sqref="M133"/>
    </sheetView>
  </sheetViews>
  <sheetFormatPr baseColWidth="10" defaultColWidth="12.44140625" defaultRowHeight="15" customHeight="1" x14ac:dyDescent="0.3"/>
  <cols>
    <col min="1" max="26" width="11.77734375" style="31" customWidth="1"/>
    <col min="27" max="16384" width="12.44140625" style="31"/>
  </cols>
  <sheetData>
    <row r="1" spans="1:10" ht="15.75" customHeight="1" x14ac:dyDescent="0.3">
      <c r="A1" s="38" t="s">
        <v>1</v>
      </c>
      <c r="B1" s="38" t="s">
        <v>3196</v>
      </c>
      <c r="C1" s="38" t="s">
        <v>3195</v>
      </c>
      <c r="D1" s="38" t="s">
        <v>3194</v>
      </c>
      <c r="E1" s="38" t="s">
        <v>3193</v>
      </c>
      <c r="F1" s="38" t="s">
        <v>3192</v>
      </c>
      <c r="G1" s="38" t="s">
        <v>3191</v>
      </c>
      <c r="H1" s="38" t="s">
        <v>3190</v>
      </c>
      <c r="I1" s="38" t="s">
        <v>3189</v>
      </c>
      <c r="J1" s="37" t="s">
        <v>3188</v>
      </c>
    </row>
    <row r="2" spans="1:10" ht="15.75" customHeight="1" x14ac:dyDescent="0.3">
      <c r="A2" s="36" t="s">
        <v>30</v>
      </c>
      <c r="B2" s="35" t="s">
        <v>3187</v>
      </c>
      <c r="C2" s="36">
        <v>2021</v>
      </c>
      <c r="D2" s="35" t="s">
        <v>1561</v>
      </c>
      <c r="E2" s="36" t="s">
        <v>483</v>
      </c>
      <c r="F2" s="36" t="s">
        <v>1276</v>
      </c>
      <c r="G2" s="36" t="s">
        <v>481</v>
      </c>
      <c r="H2" s="35" t="s">
        <v>3186</v>
      </c>
      <c r="I2" s="35" t="s">
        <v>3185</v>
      </c>
      <c r="J2" s="32" t="s">
        <v>479</v>
      </c>
    </row>
    <row r="3" spans="1:10" ht="15.75" customHeight="1" x14ac:dyDescent="0.3">
      <c r="A3" s="34" t="s">
        <v>3184</v>
      </c>
      <c r="B3" s="33" t="s">
        <v>1224</v>
      </c>
      <c r="C3" s="34">
        <v>2009</v>
      </c>
      <c r="D3" s="33" t="s">
        <v>2088</v>
      </c>
      <c r="E3" s="34" t="s">
        <v>483</v>
      </c>
      <c r="F3" s="34" t="s">
        <v>1276</v>
      </c>
      <c r="G3" s="34" t="s">
        <v>481</v>
      </c>
      <c r="H3" s="33" t="s">
        <v>1222</v>
      </c>
      <c r="I3" s="33" t="s">
        <v>3183</v>
      </c>
      <c r="J3" s="32" t="s">
        <v>479</v>
      </c>
    </row>
    <row r="4" spans="1:10" ht="15.75" customHeight="1" x14ac:dyDescent="0.3">
      <c r="A4" s="36" t="s">
        <v>3182</v>
      </c>
      <c r="B4" s="35" t="s">
        <v>3181</v>
      </c>
      <c r="C4" s="36">
        <v>2018</v>
      </c>
      <c r="D4" s="35" t="s">
        <v>1662</v>
      </c>
      <c r="E4" s="36" t="s">
        <v>1277</v>
      </c>
      <c r="F4" s="36" t="s">
        <v>1276</v>
      </c>
      <c r="G4" s="36" t="s">
        <v>481</v>
      </c>
      <c r="H4" s="35"/>
      <c r="I4" s="35" t="s">
        <v>3180</v>
      </c>
      <c r="J4" s="32" t="s">
        <v>479</v>
      </c>
    </row>
    <row r="5" spans="1:10" ht="15.75" customHeight="1" x14ac:dyDescent="0.3">
      <c r="A5" s="34" t="s">
        <v>3179</v>
      </c>
      <c r="B5" s="33" t="s">
        <v>3178</v>
      </c>
      <c r="C5" s="34">
        <v>2000</v>
      </c>
      <c r="D5" s="33" t="s">
        <v>3177</v>
      </c>
      <c r="E5" s="34" t="s">
        <v>1277</v>
      </c>
      <c r="F5" s="34" t="s">
        <v>1276</v>
      </c>
      <c r="G5" s="34" t="s">
        <v>481</v>
      </c>
      <c r="H5" s="33" t="s">
        <v>3176</v>
      </c>
      <c r="I5" s="33" t="s">
        <v>3175</v>
      </c>
      <c r="J5" s="32" t="s">
        <v>479</v>
      </c>
    </row>
    <row r="6" spans="1:10" ht="15.75" customHeight="1" x14ac:dyDescent="0.3">
      <c r="A6" s="36" t="s">
        <v>3174</v>
      </c>
      <c r="B6" s="35" t="s">
        <v>3173</v>
      </c>
      <c r="C6" s="36">
        <v>2006</v>
      </c>
      <c r="D6" s="35" t="s">
        <v>1445</v>
      </c>
      <c r="E6" s="36" t="s">
        <v>483</v>
      </c>
      <c r="F6" s="36" t="s">
        <v>1276</v>
      </c>
      <c r="G6" s="36" t="s">
        <v>1357</v>
      </c>
      <c r="H6" s="35"/>
      <c r="I6" s="35" t="s">
        <v>3172</v>
      </c>
      <c r="J6" s="32" t="s">
        <v>479</v>
      </c>
    </row>
    <row r="7" spans="1:10" ht="15.75" customHeight="1" x14ac:dyDescent="0.3">
      <c r="A7" s="34" t="s">
        <v>3171</v>
      </c>
      <c r="B7" s="33" t="s">
        <v>3170</v>
      </c>
      <c r="C7" s="34">
        <v>2000</v>
      </c>
      <c r="D7" s="33" t="s">
        <v>3169</v>
      </c>
      <c r="E7" s="34" t="s">
        <v>483</v>
      </c>
      <c r="F7" s="34" t="s">
        <v>1276</v>
      </c>
      <c r="G7" s="34" t="s">
        <v>481</v>
      </c>
      <c r="H7" s="33" t="s">
        <v>3168</v>
      </c>
      <c r="I7" s="33" t="s">
        <v>3167</v>
      </c>
      <c r="J7" s="32" t="s">
        <v>479</v>
      </c>
    </row>
    <row r="8" spans="1:10" ht="15.75" customHeight="1" x14ac:dyDescent="0.3">
      <c r="A8" s="36" t="s">
        <v>46</v>
      </c>
      <c r="B8" s="35" t="s">
        <v>1104</v>
      </c>
      <c r="C8" s="36">
        <v>2021</v>
      </c>
      <c r="D8" s="35" t="s">
        <v>3166</v>
      </c>
      <c r="E8" s="36" t="s">
        <v>483</v>
      </c>
      <c r="F8" s="36" t="s">
        <v>1276</v>
      </c>
      <c r="G8" s="36" t="s">
        <v>481</v>
      </c>
      <c r="H8" s="35" t="s">
        <v>1102</v>
      </c>
      <c r="I8" s="35" t="s">
        <v>3165</v>
      </c>
      <c r="J8" s="32" t="s">
        <v>479</v>
      </c>
    </row>
    <row r="9" spans="1:10" ht="15.75" customHeight="1" x14ac:dyDescent="0.3">
      <c r="A9" s="34" t="s">
        <v>57</v>
      </c>
      <c r="B9" s="33" t="s">
        <v>1215</v>
      </c>
      <c r="C9" s="34">
        <v>2021</v>
      </c>
      <c r="D9" s="33" t="s">
        <v>1438</v>
      </c>
      <c r="E9" s="34" t="s">
        <v>483</v>
      </c>
      <c r="F9" s="34" t="s">
        <v>1276</v>
      </c>
      <c r="G9" s="34" t="s">
        <v>481</v>
      </c>
      <c r="H9" s="33" t="s">
        <v>1214</v>
      </c>
      <c r="I9" s="33" t="s">
        <v>3164</v>
      </c>
      <c r="J9" s="32" t="s">
        <v>479</v>
      </c>
    </row>
    <row r="10" spans="1:10" ht="15.75" customHeight="1" x14ac:dyDescent="0.3">
      <c r="A10" s="36" t="s">
        <v>3163</v>
      </c>
      <c r="B10" s="35" t="s">
        <v>3162</v>
      </c>
      <c r="C10" s="36">
        <v>2022</v>
      </c>
      <c r="D10" s="35" t="s">
        <v>1343</v>
      </c>
      <c r="E10" s="36" t="s">
        <v>1277</v>
      </c>
      <c r="F10" s="36" t="s">
        <v>1276</v>
      </c>
      <c r="G10" s="36" t="s">
        <v>481</v>
      </c>
      <c r="H10" s="35" t="s">
        <v>3161</v>
      </c>
      <c r="I10" s="35" t="s">
        <v>3160</v>
      </c>
      <c r="J10" s="32" t="s">
        <v>479</v>
      </c>
    </row>
    <row r="11" spans="1:10" ht="15.75" customHeight="1" x14ac:dyDescent="0.3">
      <c r="A11" s="34" t="s">
        <v>3159</v>
      </c>
      <c r="B11" s="33" t="s">
        <v>3158</v>
      </c>
      <c r="C11" s="34">
        <v>2025</v>
      </c>
      <c r="D11" s="33" t="s">
        <v>3108</v>
      </c>
      <c r="E11" s="34" t="s">
        <v>1277</v>
      </c>
      <c r="F11" s="34" t="s">
        <v>1276</v>
      </c>
      <c r="G11" s="34" t="s">
        <v>481</v>
      </c>
      <c r="H11" s="33" t="s">
        <v>3157</v>
      </c>
      <c r="I11" s="33" t="s">
        <v>3156</v>
      </c>
      <c r="J11" s="32" t="s">
        <v>479</v>
      </c>
    </row>
    <row r="12" spans="1:10" ht="15.75" customHeight="1" x14ac:dyDescent="0.3">
      <c r="A12" s="36" t="s">
        <v>3155</v>
      </c>
      <c r="B12" s="35" t="s">
        <v>1010</v>
      </c>
      <c r="C12" s="36">
        <v>2023</v>
      </c>
      <c r="D12" s="35" t="s">
        <v>3154</v>
      </c>
      <c r="E12" s="36" t="s">
        <v>483</v>
      </c>
      <c r="F12" s="36" t="s">
        <v>1276</v>
      </c>
      <c r="G12" s="36" t="s">
        <v>481</v>
      </c>
      <c r="H12" s="35" t="s">
        <v>1008</v>
      </c>
      <c r="I12" s="35" t="s">
        <v>3153</v>
      </c>
      <c r="J12" s="32" t="s">
        <v>479</v>
      </c>
    </row>
    <row r="13" spans="1:10" ht="15.75" customHeight="1" x14ac:dyDescent="0.3">
      <c r="A13" s="34" t="s">
        <v>3152</v>
      </c>
      <c r="B13" s="33" t="s">
        <v>3151</v>
      </c>
      <c r="C13" s="34">
        <v>2010</v>
      </c>
      <c r="D13" s="33" t="s">
        <v>3150</v>
      </c>
      <c r="E13" s="34" t="s">
        <v>1277</v>
      </c>
      <c r="F13" s="34" t="s">
        <v>1276</v>
      </c>
      <c r="G13" s="34" t="s">
        <v>481</v>
      </c>
      <c r="H13" s="33"/>
      <c r="I13" s="33" t="s">
        <v>3149</v>
      </c>
      <c r="J13" s="32" t="s">
        <v>479</v>
      </c>
    </row>
    <row r="14" spans="1:10" ht="15.75" customHeight="1" x14ac:dyDescent="0.3">
      <c r="A14" s="36" t="s">
        <v>3148</v>
      </c>
      <c r="B14" s="35" t="s">
        <v>809</v>
      </c>
      <c r="C14" s="36">
        <v>2010</v>
      </c>
      <c r="D14" s="35" t="s">
        <v>2895</v>
      </c>
      <c r="E14" s="36" t="s">
        <v>483</v>
      </c>
      <c r="F14" s="36" t="s">
        <v>1276</v>
      </c>
      <c r="G14" s="36" t="s">
        <v>481</v>
      </c>
      <c r="H14" s="35" t="s">
        <v>807</v>
      </c>
      <c r="I14" s="35" t="s">
        <v>3147</v>
      </c>
      <c r="J14" s="32" t="s">
        <v>479</v>
      </c>
    </row>
    <row r="15" spans="1:10" ht="15.75" customHeight="1" x14ac:dyDescent="0.3">
      <c r="A15" s="34" t="s">
        <v>3146</v>
      </c>
      <c r="B15" s="33" t="s">
        <v>3145</v>
      </c>
      <c r="C15" s="34">
        <v>2008</v>
      </c>
      <c r="D15" s="33" t="s">
        <v>3144</v>
      </c>
      <c r="E15" s="34" t="s">
        <v>1277</v>
      </c>
      <c r="F15" s="34" t="s">
        <v>1276</v>
      </c>
      <c r="G15" s="34" t="s">
        <v>481</v>
      </c>
      <c r="H15" s="33"/>
      <c r="I15" s="33" t="s">
        <v>3143</v>
      </c>
      <c r="J15" s="32" t="s">
        <v>479</v>
      </c>
    </row>
    <row r="16" spans="1:10" ht="15.75" customHeight="1" x14ac:dyDescent="0.3">
      <c r="A16" s="36" t="s">
        <v>3142</v>
      </c>
      <c r="B16" s="35" t="s">
        <v>3141</v>
      </c>
      <c r="C16" s="36">
        <v>2006</v>
      </c>
      <c r="D16" s="35" t="s">
        <v>3140</v>
      </c>
      <c r="E16" s="36" t="s">
        <v>1277</v>
      </c>
      <c r="F16" s="36" t="s">
        <v>1276</v>
      </c>
      <c r="G16" s="36" t="s">
        <v>481</v>
      </c>
      <c r="H16" s="35" t="s">
        <v>3139</v>
      </c>
      <c r="I16" s="35" t="s">
        <v>3138</v>
      </c>
      <c r="J16" s="32" t="s">
        <v>479</v>
      </c>
    </row>
    <row r="17" spans="1:10" ht="15.75" customHeight="1" x14ac:dyDescent="0.3">
      <c r="A17" s="34" t="s">
        <v>3137</v>
      </c>
      <c r="B17" s="33" t="s">
        <v>3136</v>
      </c>
      <c r="C17" s="34">
        <v>2014</v>
      </c>
      <c r="D17" s="33" t="s">
        <v>3135</v>
      </c>
      <c r="E17" s="34" t="s">
        <v>483</v>
      </c>
      <c r="F17" s="34" t="s">
        <v>1276</v>
      </c>
      <c r="G17" s="34" t="s">
        <v>481</v>
      </c>
      <c r="H17" s="33" t="s">
        <v>3134</v>
      </c>
      <c r="I17" s="33" t="s">
        <v>3133</v>
      </c>
      <c r="J17" s="32" t="s">
        <v>479</v>
      </c>
    </row>
    <row r="18" spans="1:10" ht="15.75" customHeight="1" x14ac:dyDescent="0.3">
      <c r="A18" s="36" t="s">
        <v>3132</v>
      </c>
      <c r="B18" s="35" t="s">
        <v>3131</v>
      </c>
      <c r="C18" s="36">
        <v>2020</v>
      </c>
      <c r="D18" s="35" t="s">
        <v>3130</v>
      </c>
      <c r="E18" s="36" t="s">
        <v>1277</v>
      </c>
      <c r="F18" s="36" t="s">
        <v>1276</v>
      </c>
      <c r="G18" s="36" t="s">
        <v>481</v>
      </c>
      <c r="H18" s="35" t="s">
        <v>3129</v>
      </c>
      <c r="I18" s="35" t="s">
        <v>3128</v>
      </c>
      <c r="J18" s="32" t="s">
        <v>479</v>
      </c>
    </row>
    <row r="19" spans="1:10" ht="15.75" customHeight="1" x14ac:dyDescent="0.3">
      <c r="A19" s="34" t="s">
        <v>3127</v>
      </c>
      <c r="B19" s="33" t="s">
        <v>3126</v>
      </c>
      <c r="C19" s="34">
        <v>2020</v>
      </c>
      <c r="D19" s="33" t="s">
        <v>1855</v>
      </c>
      <c r="E19" s="34" t="s">
        <v>483</v>
      </c>
      <c r="F19" s="34" t="s">
        <v>1276</v>
      </c>
      <c r="G19" s="34" t="s">
        <v>1357</v>
      </c>
      <c r="H19" s="33" t="s">
        <v>3125</v>
      </c>
      <c r="I19" s="33" t="s">
        <v>3124</v>
      </c>
      <c r="J19" s="32" t="s">
        <v>479</v>
      </c>
    </row>
    <row r="20" spans="1:10" ht="15.75" customHeight="1" x14ac:dyDescent="0.3">
      <c r="A20" s="36" t="s">
        <v>3123</v>
      </c>
      <c r="B20" s="35" t="s">
        <v>3122</v>
      </c>
      <c r="C20" s="36">
        <v>2022</v>
      </c>
      <c r="D20" s="35" t="s">
        <v>2450</v>
      </c>
      <c r="E20" s="36" t="s">
        <v>1416</v>
      </c>
      <c r="F20" s="36" t="s">
        <v>1276</v>
      </c>
      <c r="G20" s="36" t="s">
        <v>481</v>
      </c>
      <c r="H20" s="35" t="s">
        <v>3121</v>
      </c>
      <c r="I20" s="35" t="s">
        <v>3120</v>
      </c>
      <c r="J20" s="32" t="s">
        <v>479</v>
      </c>
    </row>
    <row r="21" spans="1:10" ht="15.75" customHeight="1" x14ac:dyDescent="0.3">
      <c r="A21" s="34" t="s">
        <v>3119</v>
      </c>
      <c r="B21" s="33" t="s">
        <v>3118</v>
      </c>
      <c r="C21" s="34">
        <v>2012</v>
      </c>
      <c r="D21" s="33" t="s">
        <v>3117</v>
      </c>
      <c r="E21" s="34" t="s">
        <v>1277</v>
      </c>
      <c r="F21" s="34" t="s">
        <v>1276</v>
      </c>
      <c r="G21" s="34" t="s">
        <v>481</v>
      </c>
      <c r="H21" s="33" t="s">
        <v>3116</v>
      </c>
      <c r="I21" s="33" t="s">
        <v>3115</v>
      </c>
      <c r="J21" s="32" t="s">
        <v>479</v>
      </c>
    </row>
    <row r="22" spans="1:10" ht="15.75" customHeight="1" x14ac:dyDescent="0.3">
      <c r="A22" s="36" t="s">
        <v>3114</v>
      </c>
      <c r="B22" s="35" t="s">
        <v>1943</v>
      </c>
      <c r="C22" s="36">
        <v>2010</v>
      </c>
      <c r="D22" s="35" t="s">
        <v>1374</v>
      </c>
      <c r="E22" s="36" t="s">
        <v>483</v>
      </c>
      <c r="F22" s="36" t="s">
        <v>1276</v>
      </c>
      <c r="G22" s="36" t="s">
        <v>481</v>
      </c>
      <c r="H22" s="35"/>
      <c r="I22" s="35" t="s">
        <v>1941</v>
      </c>
      <c r="J22" s="32" t="s">
        <v>479</v>
      </c>
    </row>
    <row r="23" spans="1:10" ht="15.75" customHeight="1" x14ac:dyDescent="0.3">
      <c r="A23" s="34" t="s">
        <v>3113</v>
      </c>
      <c r="B23" s="33" t="s">
        <v>3112</v>
      </c>
      <c r="C23" s="34">
        <v>2009</v>
      </c>
      <c r="D23" s="33" t="s">
        <v>2517</v>
      </c>
      <c r="E23" s="34" t="s">
        <v>483</v>
      </c>
      <c r="F23" s="34" t="s">
        <v>1276</v>
      </c>
      <c r="G23" s="34" t="s">
        <v>481</v>
      </c>
      <c r="H23" s="33" t="s">
        <v>3111</v>
      </c>
      <c r="I23" s="33" t="s">
        <v>3110</v>
      </c>
      <c r="J23" s="32" t="s">
        <v>479</v>
      </c>
    </row>
    <row r="24" spans="1:10" ht="15.75" customHeight="1" x14ac:dyDescent="0.3">
      <c r="A24" s="36" t="s">
        <v>3109</v>
      </c>
      <c r="B24" s="35" t="s">
        <v>741</v>
      </c>
      <c r="C24" s="36">
        <v>2017</v>
      </c>
      <c r="D24" s="35" t="s">
        <v>3108</v>
      </c>
      <c r="E24" s="36" t="s">
        <v>1277</v>
      </c>
      <c r="F24" s="36" t="s">
        <v>1276</v>
      </c>
      <c r="G24" s="36" t="s">
        <v>481</v>
      </c>
      <c r="H24" s="35" t="s">
        <v>739</v>
      </c>
      <c r="I24" s="35" t="s">
        <v>3107</v>
      </c>
      <c r="J24" s="32" t="s">
        <v>479</v>
      </c>
    </row>
    <row r="25" spans="1:10" ht="15.75" customHeight="1" x14ac:dyDescent="0.3">
      <c r="A25" s="34" t="s">
        <v>3106</v>
      </c>
      <c r="B25" s="33" t="s">
        <v>3105</v>
      </c>
      <c r="C25" s="34">
        <v>2020</v>
      </c>
      <c r="D25" s="33" t="s">
        <v>2308</v>
      </c>
      <c r="E25" s="34" t="s">
        <v>1277</v>
      </c>
      <c r="F25" s="34" t="s">
        <v>1276</v>
      </c>
      <c r="G25" s="34" t="s">
        <v>481</v>
      </c>
      <c r="H25" s="33" t="s">
        <v>3104</v>
      </c>
      <c r="I25" s="33" t="s">
        <v>3103</v>
      </c>
      <c r="J25" s="32" t="s">
        <v>479</v>
      </c>
    </row>
    <row r="26" spans="1:10" ht="15.75" customHeight="1" x14ac:dyDescent="0.3">
      <c r="A26" s="36" t="s">
        <v>3102</v>
      </c>
      <c r="B26" s="35" t="s">
        <v>3101</v>
      </c>
      <c r="C26" s="36">
        <v>2018</v>
      </c>
      <c r="D26" s="35" t="s">
        <v>2450</v>
      </c>
      <c r="E26" s="36" t="s">
        <v>1416</v>
      </c>
      <c r="F26" s="36" t="s">
        <v>1276</v>
      </c>
      <c r="G26" s="36" t="s">
        <v>481</v>
      </c>
      <c r="H26" s="35" t="s">
        <v>3100</v>
      </c>
      <c r="I26" s="35" t="s">
        <v>3099</v>
      </c>
      <c r="J26" s="32" t="s">
        <v>479</v>
      </c>
    </row>
    <row r="27" spans="1:10" ht="15.75" customHeight="1" x14ac:dyDescent="0.3">
      <c r="A27" s="34" t="s">
        <v>3098</v>
      </c>
      <c r="B27" s="33" t="s">
        <v>3097</v>
      </c>
      <c r="C27" s="34">
        <v>2020</v>
      </c>
      <c r="D27" s="33" t="s">
        <v>2072</v>
      </c>
      <c r="E27" s="34" t="s">
        <v>1277</v>
      </c>
      <c r="F27" s="34" t="s">
        <v>1276</v>
      </c>
      <c r="G27" s="34" t="s">
        <v>481</v>
      </c>
      <c r="H27" s="33" t="s">
        <v>507</v>
      </c>
      <c r="I27" s="33" t="s">
        <v>3096</v>
      </c>
      <c r="J27" s="32" t="s">
        <v>479</v>
      </c>
    </row>
    <row r="28" spans="1:10" ht="15.75" customHeight="1" x14ac:dyDescent="0.3">
      <c r="A28" s="36" t="s">
        <v>3095</v>
      </c>
      <c r="B28" s="35" t="s">
        <v>3094</v>
      </c>
      <c r="C28" s="36">
        <v>2019</v>
      </c>
      <c r="D28" s="35" t="s">
        <v>2303</v>
      </c>
      <c r="E28" s="36" t="s">
        <v>1277</v>
      </c>
      <c r="F28" s="36" t="s">
        <v>1276</v>
      </c>
      <c r="G28" s="36" t="s">
        <v>481</v>
      </c>
      <c r="H28" s="35" t="s">
        <v>3093</v>
      </c>
      <c r="I28" s="35" t="s">
        <v>3092</v>
      </c>
      <c r="J28" s="32" t="s">
        <v>479</v>
      </c>
    </row>
    <row r="29" spans="1:10" ht="15.75" customHeight="1" x14ac:dyDescent="0.3">
      <c r="A29" s="34" t="s">
        <v>3091</v>
      </c>
      <c r="B29" s="33" t="s">
        <v>3090</v>
      </c>
      <c r="C29" s="34">
        <v>2006</v>
      </c>
      <c r="D29" s="33" t="s">
        <v>1358</v>
      </c>
      <c r="E29" s="34" t="s">
        <v>483</v>
      </c>
      <c r="F29" s="34" t="s">
        <v>1276</v>
      </c>
      <c r="G29" s="34" t="s">
        <v>1357</v>
      </c>
      <c r="H29" s="33"/>
      <c r="I29" s="33" t="s">
        <v>3089</v>
      </c>
      <c r="J29" s="32" t="s">
        <v>479</v>
      </c>
    </row>
    <row r="30" spans="1:10" ht="15.75" customHeight="1" x14ac:dyDescent="0.3">
      <c r="A30" s="36" t="s">
        <v>3088</v>
      </c>
      <c r="B30" s="35" t="s">
        <v>3087</v>
      </c>
      <c r="C30" s="36">
        <v>2014</v>
      </c>
      <c r="D30" s="35" t="s">
        <v>3086</v>
      </c>
      <c r="E30" s="36" t="s">
        <v>483</v>
      </c>
      <c r="F30" s="36" t="s">
        <v>1276</v>
      </c>
      <c r="G30" s="36" t="s">
        <v>481</v>
      </c>
      <c r="H30" s="35" t="s">
        <v>761</v>
      </c>
      <c r="I30" s="35" t="s">
        <v>3085</v>
      </c>
      <c r="J30" s="32" t="s">
        <v>479</v>
      </c>
    </row>
    <row r="31" spans="1:10" ht="15.75" customHeight="1" x14ac:dyDescent="0.3">
      <c r="A31" s="34" t="s">
        <v>3084</v>
      </c>
      <c r="B31" s="33" t="s">
        <v>1256</v>
      </c>
      <c r="C31" s="34">
        <v>2010</v>
      </c>
      <c r="D31" s="33" t="s">
        <v>3083</v>
      </c>
      <c r="E31" s="34" t="s">
        <v>1277</v>
      </c>
      <c r="F31" s="34" t="s">
        <v>1276</v>
      </c>
      <c r="G31" s="34" t="s">
        <v>481</v>
      </c>
      <c r="H31" s="33"/>
      <c r="I31" s="33" t="s">
        <v>1254</v>
      </c>
      <c r="J31" s="32" t="s">
        <v>479</v>
      </c>
    </row>
    <row r="32" spans="1:10" ht="15.75" customHeight="1" x14ac:dyDescent="0.3">
      <c r="A32" s="36" t="s">
        <v>3082</v>
      </c>
      <c r="B32" s="35" t="s">
        <v>3081</v>
      </c>
      <c r="C32" s="36">
        <v>2016</v>
      </c>
      <c r="D32" s="35" t="s">
        <v>1343</v>
      </c>
      <c r="E32" s="36" t="s">
        <v>1277</v>
      </c>
      <c r="F32" s="36" t="s">
        <v>1276</v>
      </c>
      <c r="G32" s="36" t="s">
        <v>481</v>
      </c>
      <c r="H32" s="35"/>
      <c r="I32" s="35" t="s">
        <v>3080</v>
      </c>
      <c r="J32" s="32" t="s">
        <v>479</v>
      </c>
    </row>
    <row r="33" spans="1:10" ht="15.75" customHeight="1" x14ac:dyDescent="0.3">
      <c r="A33" s="34" t="s">
        <v>3079</v>
      </c>
      <c r="B33" s="33" t="s">
        <v>3078</v>
      </c>
      <c r="C33" s="34">
        <v>2022</v>
      </c>
      <c r="D33" s="33" t="s">
        <v>1706</v>
      </c>
      <c r="E33" s="34" t="s">
        <v>483</v>
      </c>
      <c r="F33" s="34" t="s">
        <v>1276</v>
      </c>
      <c r="G33" s="34" t="s">
        <v>1357</v>
      </c>
      <c r="H33" s="33"/>
      <c r="I33" s="33" t="s">
        <v>3077</v>
      </c>
      <c r="J33" s="32" t="s">
        <v>479</v>
      </c>
    </row>
    <row r="34" spans="1:10" ht="15.75" customHeight="1" x14ac:dyDescent="0.3">
      <c r="A34" s="36" t="s">
        <v>3076</v>
      </c>
      <c r="B34" s="35" t="s">
        <v>3075</v>
      </c>
      <c r="C34" s="36">
        <v>2008</v>
      </c>
      <c r="D34" s="35" t="s">
        <v>3074</v>
      </c>
      <c r="E34" s="36" t="s">
        <v>1277</v>
      </c>
      <c r="F34" s="36" t="s">
        <v>1276</v>
      </c>
      <c r="G34" s="36" t="s">
        <v>1357</v>
      </c>
      <c r="H34" s="35" t="s">
        <v>3073</v>
      </c>
      <c r="I34" s="35" t="s">
        <v>3072</v>
      </c>
      <c r="J34" s="32" t="s">
        <v>479</v>
      </c>
    </row>
    <row r="35" spans="1:10" ht="15.75" customHeight="1" x14ac:dyDescent="0.3">
      <c r="A35" s="34" t="s">
        <v>65</v>
      </c>
      <c r="B35" s="33" t="s">
        <v>1032</v>
      </c>
      <c r="C35" s="34">
        <v>2022</v>
      </c>
      <c r="D35" s="33" t="s">
        <v>1317</v>
      </c>
      <c r="E35" s="34" t="s">
        <v>483</v>
      </c>
      <c r="F35" s="34" t="s">
        <v>1276</v>
      </c>
      <c r="G35" s="34" t="s">
        <v>481</v>
      </c>
      <c r="H35" s="33" t="s">
        <v>1031</v>
      </c>
      <c r="I35" s="33" t="s">
        <v>3071</v>
      </c>
      <c r="J35" s="32" t="s">
        <v>479</v>
      </c>
    </row>
    <row r="36" spans="1:10" ht="15.75" customHeight="1" x14ac:dyDescent="0.3">
      <c r="A36" s="36" t="s">
        <v>3070</v>
      </c>
      <c r="B36" s="35" t="s">
        <v>3069</v>
      </c>
      <c r="C36" s="36">
        <v>2016</v>
      </c>
      <c r="D36" s="35" t="s">
        <v>3068</v>
      </c>
      <c r="E36" s="36" t="s">
        <v>483</v>
      </c>
      <c r="F36" s="36" t="s">
        <v>1276</v>
      </c>
      <c r="G36" s="36" t="s">
        <v>481</v>
      </c>
      <c r="H36" s="35" t="s">
        <v>3067</v>
      </c>
      <c r="I36" s="35" t="s">
        <v>3066</v>
      </c>
      <c r="J36" s="32" t="s">
        <v>479</v>
      </c>
    </row>
    <row r="37" spans="1:10" ht="15.75" customHeight="1" x14ac:dyDescent="0.3">
      <c r="A37" s="34" t="s">
        <v>3065</v>
      </c>
      <c r="B37" s="33" t="s">
        <v>3064</v>
      </c>
      <c r="C37" s="34">
        <v>2009</v>
      </c>
      <c r="D37" s="33" t="s">
        <v>3063</v>
      </c>
      <c r="E37" s="34" t="s">
        <v>483</v>
      </c>
      <c r="F37" s="34" t="s">
        <v>1276</v>
      </c>
      <c r="G37" s="34" t="s">
        <v>481</v>
      </c>
      <c r="H37" s="33"/>
      <c r="I37" s="33" t="s">
        <v>3062</v>
      </c>
      <c r="J37" s="32" t="s">
        <v>479</v>
      </c>
    </row>
    <row r="38" spans="1:10" ht="15.75" customHeight="1" x14ac:dyDescent="0.3">
      <c r="A38" s="36" t="s">
        <v>69</v>
      </c>
      <c r="B38" s="35" t="s">
        <v>1023</v>
      </c>
      <c r="C38" s="36">
        <v>2023</v>
      </c>
      <c r="D38" s="35" t="s">
        <v>1438</v>
      </c>
      <c r="E38" s="36" t="s">
        <v>483</v>
      </c>
      <c r="F38" s="36" t="s">
        <v>1276</v>
      </c>
      <c r="G38" s="36" t="s">
        <v>481</v>
      </c>
      <c r="H38" s="35" t="s">
        <v>1021</v>
      </c>
      <c r="I38" s="35" t="s">
        <v>3061</v>
      </c>
      <c r="J38" s="32" t="s">
        <v>479</v>
      </c>
    </row>
    <row r="39" spans="1:10" ht="15.75" customHeight="1" x14ac:dyDescent="0.3">
      <c r="A39" s="34" t="s">
        <v>73</v>
      </c>
      <c r="B39" s="33" t="s">
        <v>3060</v>
      </c>
      <c r="C39" s="34">
        <v>2020</v>
      </c>
      <c r="D39" s="33" t="s">
        <v>1513</v>
      </c>
      <c r="E39" s="34" t="s">
        <v>483</v>
      </c>
      <c r="F39" s="34" t="s">
        <v>1276</v>
      </c>
      <c r="G39" s="34" t="s">
        <v>481</v>
      </c>
      <c r="H39" s="33" t="s">
        <v>3059</v>
      </c>
      <c r="I39" s="33" t="s">
        <v>3058</v>
      </c>
      <c r="J39" s="32" t="s">
        <v>479</v>
      </c>
    </row>
    <row r="40" spans="1:10" ht="15.75" customHeight="1" x14ac:dyDescent="0.3">
      <c r="A40" s="36" t="s">
        <v>3057</v>
      </c>
      <c r="B40" s="35" t="s">
        <v>3056</v>
      </c>
      <c r="C40" s="36">
        <v>2026</v>
      </c>
      <c r="D40" s="35" t="s">
        <v>2077</v>
      </c>
      <c r="E40" s="36" t="s">
        <v>483</v>
      </c>
      <c r="F40" s="36" t="s">
        <v>1276</v>
      </c>
      <c r="G40" s="36" t="s">
        <v>481</v>
      </c>
      <c r="H40" s="35" t="s">
        <v>3055</v>
      </c>
      <c r="I40" s="35" t="s">
        <v>3054</v>
      </c>
      <c r="J40" s="32" t="s">
        <v>479</v>
      </c>
    </row>
    <row r="41" spans="1:10" ht="15.75" customHeight="1" x14ac:dyDescent="0.3">
      <c r="A41" s="34" t="s">
        <v>77</v>
      </c>
      <c r="B41" s="33" t="s">
        <v>3053</v>
      </c>
      <c r="C41" s="34">
        <v>2015</v>
      </c>
      <c r="D41" s="33" t="s">
        <v>1582</v>
      </c>
      <c r="E41" s="34" t="s">
        <v>483</v>
      </c>
      <c r="F41" s="34" t="s">
        <v>1276</v>
      </c>
      <c r="G41" s="34" t="s">
        <v>481</v>
      </c>
      <c r="H41" s="33" t="s">
        <v>3052</v>
      </c>
      <c r="I41" s="33" t="s">
        <v>3051</v>
      </c>
      <c r="J41" s="32" t="s">
        <v>479</v>
      </c>
    </row>
    <row r="42" spans="1:10" ht="15.75" customHeight="1" x14ac:dyDescent="0.3">
      <c r="A42" s="36" t="s">
        <v>3050</v>
      </c>
      <c r="B42" s="35" t="s">
        <v>3049</v>
      </c>
      <c r="C42" s="36">
        <v>2014</v>
      </c>
      <c r="D42" s="35" t="s">
        <v>3048</v>
      </c>
      <c r="E42" s="36" t="s">
        <v>1277</v>
      </c>
      <c r="F42" s="36" t="s">
        <v>1276</v>
      </c>
      <c r="G42" s="36" t="s">
        <v>481</v>
      </c>
      <c r="H42" s="35" t="s">
        <v>3047</v>
      </c>
      <c r="I42" s="35" t="s">
        <v>3046</v>
      </c>
      <c r="J42" s="32" t="s">
        <v>479</v>
      </c>
    </row>
    <row r="43" spans="1:10" ht="15.75" customHeight="1" x14ac:dyDescent="0.3">
      <c r="A43" s="34" t="s">
        <v>81</v>
      </c>
      <c r="B43" s="33" t="s">
        <v>3045</v>
      </c>
      <c r="C43" s="34">
        <v>2016</v>
      </c>
      <c r="D43" s="33" t="s">
        <v>1723</v>
      </c>
      <c r="E43" s="34" t="s">
        <v>483</v>
      </c>
      <c r="F43" s="34" t="s">
        <v>1276</v>
      </c>
      <c r="G43" s="34" t="s">
        <v>481</v>
      </c>
      <c r="H43" s="33" t="s">
        <v>3044</v>
      </c>
      <c r="I43" s="33" t="s">
        <v>3043</v>
      </c>
      <c r="J43" s="32" t="s">
        <v>479</v>
      </c>
    </row>
    <row r="44" spans="1:10" ht="15.75" customHeight="1" x14ac:dyDescent="0.3">
      <c r="A44" s="36" t="s">
        <v>3042</v>
      </c>
      <c r="B44" s="35" t="s">
        <v>3041</v>
      </c>
      <c r="C44" s="36">
        <v>2004</v>
      </c>
      <c r="D44" s="35" t="s">
        <v>3040</v>
      </c>
      <c r="E44" s="36" t="s">
        <v>483</v>
      </c>
      <c r="F44" s="36" t="s">
        <v>1276</v>
      </c>
      <c r="G44" s="36" t="s">
        <v>1357</v>
      </c>
      <c r="H44" s="35"/>
      <c r="I44" s="35" t="s">
        <v>3039</v>
      </c>
      <c r="J44" s="32" t="s">
        <v>479</v>
      </c>
    </row>
    <row r="45" spans="1:10" ht="15.75" customHeight="1" x14ac:dyDescent="0.3">
      <c r="A45" s="34" t="s">
        <v>3038</v>
      </c>
      <c r="B45" s="33" t="s">
        <v>3037</v>
      </c>
      <c r="C45" s="34">
        <v>2010</v>
      </c>
      <c r="D45" s="33" t="s">
        <v>3036</v>
      </c>
      <c r="E45" s="34" t="s">
        <v>483</v>
      </c>
      <c r="F45" s="34" t="s">
        <v>1276</v>
      </c>
      <c r="G45" s="34" t="s">
        <v>1609</v>
      </c>
      <c r="H45" s="33" t="s">
        <v>3035</v>
      </c>
      <c r="I45" s="33" t="s">
        <v>3034</v>
      </c>
      <c r="J45" s="32" t="s">
        <v>479</v>
      </c>
    </row>
    <row r="46" spans="1:10" ht="15.75" customHeight="1" x14ac:dyDescent="0.3">
      <c r="A46" s="36" t="s">
        <v>87</v>
      </c>
      <c r="B46" s="35" t="s">
        <v>3033</v>
      </c>
      <c r="C46" s="36">
        <v>2023</v>
      </c>
      <c r="D46" s="35" t="s">
        <v>1288</v>
      </c>
      <c r="E46" s="36" t="s">
        <v>483</v>
      </c>
      <c r="F46" s="36" t="s">
        <v>1276</v>
      </c>
      <c r="G46" s="36" t="s">
        <v>481</v>
      </c>
      <c r="H46" s="35" t="s">
        <v>3032</v>
      </c>
      <c r="I46" s="35" t="s">
        <v>3031</v>
      </c>
      <c r="J46" s="32" t="s">
        <v>479</v>
      </c>
    </row>
    <row r="47" spans="1:10" ht="15.75" customHeight="1" x14ac:dyDescent="0.3">
      <c r="A47" s="34" t="s">
        <v>3030</v>
      </c>
      <c r="B47" s="33" t="s">
        <v>3029</v>
      </c>
      <c r="C47" s="34">
        <v>2021</v>
      </c>
      <c r="D47" s="33" t="s">
        <v>2141</v>
      </c>
      <c r="E47" s="34" t="s">
        <v>1277</v>
      </c>
      <c r="F47" s="34" t="s">
        <v>1276</v>
      </c>
      <c r="G47" s="34" t="s">
        <v>481</v>
      </c>
      <c r="H47" s="33" t="s">
        <v>3028</v>
      </c>
      <c r="I47" s="33" t="s">
        <v>3027</v>
      </c>
      <c r="J47" s="32" t="s">
        <v>479</v>
      </c>
    </row>
    <row r="48" spans="1:10" ht="15.75" customHeight="1" x14ac:dyDescent="0.3">
      <c r="A48" s="36" t="s">
        <v>3026</v>
      </c>
      <c r="B48" s="35" t="s">
        <v>3025</v>
      </c>
      <c r="C48" s="36">
        <v>2007</v>
      </c>
      <c r="D48" s="35" t="s">
        <v>3024</v>
      </c>
      <c r="E48" s="36" t="s">
        <v>1277</v>
      </c>
      <c r="F48" s="36" t="s">
        <v>1276</v>
      </c>
      <c r="G48" s="36" t="s">
        <v>481</v>
      </c>
      <c r="H48" s="35"/>
      <c r="I48" s="35" t="s">
        <v>3023</v>
      </c>
      <c r="J48" s="32" t="s">
        <v>479</v>
      </c>
    </row>
    <row r="49" spans="1:10" ht="15.75" customHeight="1" x14ac:dyDescent="0.3">
      <c r="A49" s="34" t="s">
        <v>3022</v>
      </c>
      <c r="B49" s="33" t="s">
        <v>3021</v>
      </c>
      <c r="C49" s="34">
        <v>2015</v>
      </c>
      <c r="D49" s="33" t="s">
        <v>3020</v>
      </c>
      <c r="E49" s="34" t="s">
        <v>483</v>
      </c>
      <c r="F49" s="34" t="s">
        <v>1276</v>
      </c>
      <c r="G49" s="34" t="s">
        <v>481</v>
      </c>
      <c r="H49" s="33" t="s">
        <v>3019</v>
      </c>
      <c r="I49" s="33" t="s">
        <v>3018</v>
      </c>
      <c r="J49" s="32" t="s">
        <v>479</v>
      </c>
    </row>
    <row r="50" spans="1:10" ht="15.75" customHeight="1" x14ac:dyDescent="0.3">
      <c r="A50" s="36" t="s">
        <v>3017</v>
      </c>
      <c r="B50" s="35" t="s">
        <v>1939</v>
      </c>
      <c r="C50" s="36">
        <v>2008</v>
      </c>
      <c r="D50" s="35" t="s">
        <v>1374</v>
      </c>
      <c r="E50" s="36" t="s">
        <v>483</v>
      </c>
      <c r="F50" s="36" t="s">
        <v>1276</v>
      </c>
      <c r="G50" s="36" t="s">
        <v>481</v>
      </c>
      <c r="H50" s="35"/>
      <c r="I50" s="35" t="s">
        <v>1169</v>
      </c>
      <c r="J50" s="32" t="s">
        <v>479</v>
      </c>
    </row>
    <row r="51" spans="1:10" ht="15.75" customHeight="1" x14ac:dyDescent="0.3">
      <c r="A51" s="34" t="s">
        <v>3016</v>
      </c>
      <c r="B51" s="33" t="s">
        <v>758</v>
      </c>
      <c r="C51" s="34">
        <v>2006</v>
      </c>
      <c r="D51" s="33" t="s">
        <v>3015</v>
      </c>
      <c r="E51" s="34" t="s">
        <v>483</v>
      </c>
      <c r="F51" s="34" t="s">
        <v>1276</v>
      </c>
      <c r="G51" s="34" t="s">
        <v>481</v>
      </c>
      <c r="H51" s="33" t="s">
        <v>756</v>
      </c>
      <c r="I51" s="33" t="s">
        <v>3014</v>
      </c>
      <c r="J51" s="32" t="s">
        <v>479</v>
      </c>
    </row>
    <row r="52" spans="1:10" ht="15.75" customHeight="1" x14ac:dyDescent="0.3">
      <c r="A52" s="36" t="s">
        <v>3013</v>
      </c>
      <c r="B52" s="35" t="s">
        <v>1868</v>
      </c>
      <c r="C52" s="36">
        <v>2012</v>
      </c>
      <c r="D52" s="35" t="s">
        <v>3012</v>
      </c>
      <c r="E52" s="36" t="s">
        <v>1416</v>
      </c>
      <c r="F52" s="36" t="s">
        <v>1276</v>
      </c>
      <c r="G52" s="36" t="s">
        <v>481</v>
      </c>
      <c r="H52" s="35" t="s">
        <v>3011</v>
      </c>
      <c r="I52" s="35" t="s">
        <v>1866</v>
      </c>
      <c r="J52" s="32" t="s">
        <v>479</v>
      </c>
    </row>
    <row r="53" spans="1:10" ht="15.75" customHeight="1" x14ac:dyDescent="0.3">
      <c r="A53" s="34" t="s">
        <v>3010</v>
      </c>
      <c r="B53" s="33" t="s">
        <v>3009</v>
      </c>
      <c r="C53" s="34">
        <v>2020</v>
      </c>
      <c r="D53" s="33" t="s">
        <v>1488</v>
      </c>
      <c r="E53" s="34" t="s">
        <v>1416</v>
      </c>
      <c r="F53" s="34" t="s">
        <v>1276</v>
      </c>
      <c r="G53" s="34" t="s">
        <v>481</v>
      </c>
      <c r="H53" s="33" t="s">
        <v>3008</v>
      </c>
      <c r="I53" s="33" t="s">
        <v>3007</v>
      </c>
      <c r="J53" s="32" t="s">
        <v>479</v>
      </c>
    </row>
    <row r="54" spans="1:10" ht="15.75" customHeight="1" x14ac:dyDescent="0.3">
      <c r="A54" s="36" t="s">
        <v>3006</v>
      </c>
      <c r="B54" s="35" t="s">
        <v>3005</v>
      </c>
      <c r="C54" s="36">
        <v>2023</v>
      </c>
      <c r="D54" s="35" t="s">
        <v>2571</v>
      </c>
      <c r="E54" s="36" t="s">
        <v>1277</v>
      </c>
      <c r="F54" s="36" t="s">
        <v>1276</v>
      </c>
      <c r="G54" s="36" t="s">
        <v>481</v>
      </c>
      <c r="H54" s="35" t="s">
        <v>3004</v>
      </c>
      <c r="I54" s="35" t="s">
        <v>3003</v>
      </c>
      <c r="J54" s="32" t="s">
        <v>479</v>
      </c>
    </row>
    <row r="55" spans="1:10" ht="15.75" customHeight="1" x14ac:dyDescent="0.3">
      <c r="A55" s="34" t="s">
        <v>3002</v>
      </c>
      <c r="B55" s="33" t="s">
        <v>1245</v>
      </c>
      <c r="C55" s="34">
        <v>2009</v>
      </c>
      <c r="D55" s="33" t="s">
        <v>1386</v>
      </c>
      <c r="E55" s="34" t="s">
        <v>483</v>
      </c>
      <c r="F55" s="34" t="s">
        <v>1276</v>
      </c>
      <c r="G55" s="34" t="s">
        <v>481</v>
      </c>
      <c r="H55" s="33" t="s">
        <v>1243</v>
      </c>
      <c r="I55" s="33" t="s">
        <v>3001</v>
      </c>
      <c r="J55" s="32" t="s">
        <v>479</v>
      </c>
    </row>
    <row r="56" spans="1:10" ht="15.75" customHeight="1" x14ac:dyDescent="0.3">
      <c r="A56" s="36" t="s">
        <v>3000</v>
      </c>
      <c r="B56" s="35" t="s">
        <v>2999</v>
      </c>
      <c r="C56" s="36">
        <v>2016</v>
      </c>
      <c r="D56" s="35" t="s">
        <v>2998</v>
      </c>
      <c r="E56" s="36" t="s">
        <v>1277</v>
      </c>
      <c r="F56" s="36" t="s">
        <v>1276</v>
      </c>
      <c r="G56" s="36" t="s">
        <v>481</v>
      </c>
      <c r="H56" s="35"/>
      <c r="I56" s="35" t="s">
        <v>2997</v>
      </c>
      <c r="J56" s="32" t="s">
        <v>479</v>
      </c>
    </row>
    <row r="57" spans="1:10" ht="15.75" customHeight="1" x14ac:dyDescent="0.3">
      <c r="A57" s="34" t="s">
        <v>2996</v>
      </c>
      <c r="B57" s="33" t="s">
        <v>2995</v>
      </c>
      <c r="C57" s="34">
        <v>2011</v>
      </c>
      <c r="D57" s="33" t="s">
        <v>1426</v>
      </c>
      <c r="E57" s="34" t="s">
        <v>650</v>
      </c>
      <c r="F57" s="34" t="s">
        <v>1276</v>
      </c>
      <c r="G57" s="34" t="s">
        <v>481</v>
      </c>
      <c r="H57" s="33" t="s">
        <v>2994</v>
      </c>
      <c r="I57" s="33" t="s">
        <v>2993</v>
      </c>
      <c r="J57" s="32" t="s">
        <v>479</v>
      </c>
    </row>
    <row r="58" spans="1:10" ht="15.75" customHeight="1" x14ac:dyDescent="0.3">
      <c r="A58" s="36" t="s">
        <v>2992</v>
      </c>
      <c r="B58" s="35" t="s">
        <v>2991</v>
      </c>
      <c r="C58" s="36">
        <v>2004</v>
      </c>
      <c r="D58" s="35" t="s">
        <v>2990</v>
      </c>
      <c r="E58" s="36" t="s">
        <v>2989</v>
      </c>
      <c r="F58" s="36" t="s">
        <v>1276</v>
      </c>
      <c r="G58" s="36" t="s">
        <v>2335</v>
      </c>
      <c r="H58" s="35"/>
      <c r="I58" s="35" t="s">
        <v>2988</v>
      </c>
      <c r="J58" s="32" t="s">
        <v>479</v>
      </c>
    </row>
    <row r="59" spans="1:10" ht="15.75" customHeight="1" x14ac:dyDescent="0.3">
      <c r="A59" s="34" t="s">
        <v>2987</v>
      </c>
      <c r="B59" s="33" t="s">
        <v>2986</v>
      </c>
      <c r="C59" s="34">
        <v>2011</v>
      </c>
      <c r="D59" s="33" t="s">
        <v>2985</v>
      </c>
      <c r="E59" s="34" t="s">
        <v>1277</v>
      </c>
      <c r="F59" s="34" t="s">
        <v>1276</v>
      </c>
      <c r="G59" s="34" t="s">
        <v>481</v>
      </c>
      <c r="H59" s="33"/>
      <c r="I59" s="33" t="s">
        <v>2984</v>
      </c>
      <c r="J59" s="32" t="s">
        <v>479</v>
      </c>
    </row>
    <row r="60" spans="1:10" ht="15.75" customHeight="1" x14ac:dyDescent="0.3">
      <c r="A60" s="36" t="s">
        <v>2983</v>
      </c>
      <c r="B60" s="35" t="s">
        <v>2982</v>
      </c>
      <c r="C60" s="36">
        <v>2016</v>
      </c>
      <c r="D60" s="35" t="s">
        <v>1450</v>
      </c>
      <c r="E60" s="36" t="s">
        <v>483</v>
      </c>
      <c r="F60" s="36" t="s">
        <v>1276</v>
      </c>
      <c r="G60" s="36" t="s">
        <v>481</v>
      </c>
      <c r="H60" s="35" t="s">
        <v>2981</v>
      </c>
      <c r="I60" s="35" t="s">
        <v>2980</v>
      </c>
      <c r="J60" s="32" t="s">
        <v>479</v>
      </c>
    </row>
    <row r="61" spans="1:10" ht="15.75" customHeight="1" x14ac:dyDescent="0.3">
      <c r="A61" s="34" t="s">
        <v>2979</v>
      </c>
      <c r="B61" s="33" t="s">
        <v>1510</v>
      </c>
      <c r="C61" s="34">
        <v>2010</v>
      </c>
      <c r="D61" s="33" t="s">
        <v>2978</v>
      </c>
      <c r="E61" s="34" t="s">
        <v>1277</v>
      </c>
      <c r="F61" s="34" t="s">
        <v>1276</v>
      </c>
      <c r="G61" s="34" t="s">
        <v>481</v>
      </c>
      <c r="H61" s="33" t="s">
        <v>2977</v>
      </c>
      <c r="I61" s="33" t="s">
        <v>2976</v>
      </c>
      <c r="J61" s="32" t="s">
        <v>479</v>
      </c>
    </row>
    <row r="62" spans="1:10" ht="15.75" customHeight="1" x14ac:dyDescent="0.3">
      <c r="A62" s="36" t="s">
        <v>2975</v>
      </c>
      <c r="B62" s="35" t="s">
        <v>2974</v>
      </c>
      <c r="C62" s="36">
        <v>2007</v>
      </c>
      <c r="D62" s="35" t="s">
        <v>2973</v>
      </c>
      <c r="E62" s="36" t="s">
        <v>1277</v>
      </c>
      <c r="F62" s="36" t="s">
        <v>1276</v>
      </c>
      <c r="G62" s="36" t="s">
        <v>481</v>
      </c>
      <c r="H62" s="35"/>
      <c r="I62" s="35" t="s">
        <v>2972</v>
      </c>
      <c r="J62" s="32" t="s">
        <v>479</v>
      </c>
    </row>
    <row r="63" spans="1:10" ht="15.75" customHeight="1" x14ac:dyDescent="0.3">
      <c r="A63" s="34" t="s">
        <v>91</v>
      </c>
      <c r="B63" s="33" t="s">
        <v>2971</v>
      </c>
      <c r="C63" s="34">
        <v>2021</v>
      </c>
      <c r="D63" s="33" t="s">
        <v>2094</v>
      </c>
      <c r="E63" s="34" t="s">
        <v>483</v>
      </c>
      <c r="F63" s="34" t="s">
        <v>1276</v>
      </c>
      <c r="G63" s="34" t="s">
        <v>481</v>
      </c>
      <c r="H63" s="33" t="s">
        <v>2970</v>
      </c>
      <c r="I63" s="33" t="s">
        <v>2969</v>
      </c>
      <c r="J63" s="32" t="s">
        <v>479</v>
      </c>
    </row>
    <row r="64" spans="1:10" ht="15.75" customHeight="1" x14ac:dyDescent="0.3">
      <c r="A64" s="36" t="s">
        <v>2968</v>
      </c>
      <c r="B64" s="35" t="s">
        <v>2967</v>
      </c>
      <c r="C64" s="36">
        <v>2017</v>
      </c>
      <c r="D64" s="35" t="s">
        <v>1343</v>
      </c>
      <c r="E64" s="36" t="s">
        <v>1277</v>
      </c>
      <c r="F64" s="36" t="s">
        <v>1276</v>
      </c>
      <c r="G64" s="36" t="s">
        <v>481</v>
      </c>
      <c r="H64" s="35" t="s">
        <v>2966</v>
      </c>
      <c r="I64" s="35" t="s">
        <v>2965</v>
      </c>
      <c r="J64" s="32" t="s">
        <v>479</v>
      </c>
    </row>
    <row r="65" spans="1:10" ht="15.75" customHeight="1" x14ac:dyDescent="0.3">
      <c r="A65" s="34" t="s">
        <v>2964</v>
      </c>
      <c r="B65" s="33" t="s">
        <v>2963</v>
      </c>
      <c r="C65" s="34">
        <v>2021</v>
      </c>
      <c r="D65" s="33" t="s">
        <v>2141</v>
      </c>
      <c r="E65" s="34" t="s">
        <v>1277</v>
      </c>
      <c r="F65" s="34" t="s">
        <v>1276</v>
      </c>
      <c r="G65" s="34" t="s">
        <v>481</v>
      </c>
      <c r="H65" s="33" t="s">
        <v>2962</v>
      </c>
      <c r="I65" s="33" t="s">
        <v>2961</v>
      </c>
      <c r="J65" s="32" t="s">
        <v>479</v>
      </c>
    </row>
    <row r="66" spans="1:10" ht="15.75" customHeight="1" x14ac:dyDescent="0.3">
      <c r="A66" s="36" t="s">
        <v>2960</v>
      </c>
      <c r="B66" s="35" t="s">
        <v>2959</v>
      </c>
      <c r="C66" s="36">
        <v>2014</v>
      </c>
      <c r="D66" s="35" t="s">
        <v>2958</v>
      </c>
      <c r="E66" s="36" t="s">
        <v>1277</v>
      </c>
      <c r="F66" s="36" t="s">
        <v>1276</v>
      </c>
      <c r="G66" s="36" t="s">
        <v>481</v>
      </c>
      <c r="H66" s="35"/>
      <c r="I66" s="35" t="s">
        <v>2957</v>
      </c>
      <c r="J66" s="32" t="s">
        <v>479</v>
      </c>
    </row>
    <row r="67" spans="1:10" ht="15.75" customHeight="1" x14ac:dyDescent="0.3">
      <c r="A67" s="34" t="s">
        <v>2956</v>
      </c>
      <c r="B67" s="33" t="s">
        <v>562</v>
      </c>
      <c r="C67" s="34">
        <v>2007</v>
      </c>
      <c r="D67" s="33" t="s">
        <v>1301</v>
      </c>
      <c r="E67" s="34" t="s">
        <v>483</v>
      </c>
      <c r="F67" s="34" t="s">
        <v>1276</v>
      </c>
      <c r="G67" s="34" t="s">
        <v>481</v>
      </c>
      <c r="H67" s="33" t="s">
        <v>560</v>
      </c>
      <c r="I67" s="33" t="s">
        <v>2955</v>
      </c>
      <c r="J67" s="32" t="s">
        <v>479</v>
      </c>
    </row>
    <row r="68" spans="1:10" ht="15.75" customHeight="1" x14ac:dyDescent="0.3">
      <c r="A68" s="36" t="s">
        <v>2954</v>
      </c>
      <c r="B68" s="35" t="s">
        <v>544</v>
      </c>
      <c r="C68" s="36">
        <v>2007</v>
      </c>
      <c r="D68" s="35" t="s">
        <v>2508</v>
      </c>
      <c r="E68" s="36" t="s">
        <v>1277</v>
      </c>
      <c r="F68" s="36" t="s">
        <v>1276</v>
      </c>
      <c r="G68" s="36" t="s">
        <v>481</v>
      </c>
      <c r="H68" s="35" t="s">
        <v>2953</v>
      </c>
      <c r="I68" s="35" t="s">
        <v>2952</v>
      </c>
      <c r="J68" s="32" t="s">
        <v>479</v>
      </c>
    </row>
    <row r="69" spans="1:10" ht="15.75" customHeight="1" x14ac:dyDescent="0.3">
      <c r="A69" s="34" t="s">
        <v>2951</v>
      </c>
      <c r="B69" s="33" t="s">
        <v>2950</v>
      </c>
      <c r="C69" s="34">
        <v>2016</v>
      </c>
      <c r="D69" s="33" t="s">
        <v>2949</v>
      </c>
      <c r="E69" s="34" t="s">
        <v>1277</v>
      </c>
      <c r="F69" s="34" t="s">
        <v>1276</v>
      </c>
      <c r="G69" s="34" t="s">
        <v>481</v>
      </c>
      <c r="H69" s="33"/>
      <c r="I69" s="33" t="s">
        <v>2948</v>
      </c>
      <c r="J69" s="32" t="s">
        <v>479</v>
      </c>
    </row>
    <row r="70" spans="1:10" ht="15.75" customHeight="1" x14ac:dyDescent="0.3">
      <c r="A70" s="36" t="s">
        <v>2947</v>
      </c>
      <c r="B70" s="35" t="s">
        <v>2946</v>
      </c>
      <c r="C70" s="36">
        <v>2004</v>
      </c>
      <c r="D70" s="35" t="s">
        <v>1317</v>
      </c>
      <c r="E70" s="36" t="s">
        <v>1277</v>
      </c>
      <c r="F70" s="36" t="s">
        <v>1276</v>
      </c>
      <c r="G70" s="36" t="s">
        <v>481</v>
      </c>
      <c r="H70" s="35"/>
      <c r="I70" s="35" t="s">
        <v>2945</v>
      </c>
      <c r="J70" s="32" t="s">
        <v>479</v>
      </c>
    </row>
    <row r="71" spans="1:10" ht="15.75" customHeight="1" x14ac:dyDescent="0.3">
      <c r="A71" s="34" t="s">
        <v>97</v>
      </c>
      <c r="B71" s="33" t="s">
        <v>2944</v>
      </c>
      <c r="C71" s="34">
        <v>2016</v>
      </c>
      <c r="D71" s="33" t="s">
        <v>2943</v>
      </c>
      <c r="E71" s="34" t="s">
        <v>483</v>
      </c>
      <c r="F71" s="34" t="s">
        <v>1276</v>
      </c>
      <c r="G71" s="34" t="s">
        <v>481</v>
      </c>
      <c r="H71" s="33" t="s">
        <v>2942</v>
      </c>
      <c r="I71" s="33" t="s">
        <v>2941</v>
      </c>
      <c r="J71" s="32" t="s">
        <v>479</v>
      </c>
    </row>
    <row r="72" spans="1:10" ht="15.75" customHeight="1" x14ac:dyDescent="0.3">
      <c r="A72" s="36" t="s">
        <v>101</v>
      </c>
      <c r="B72" s="35" t="s">
        <v>2940</v>
      </c>
      <c r="C72" s="36">
        <v>2021</v>
      </c>
      <c r="D72" s="35" t="s">
        <v>2063</v>
      </c>
      <c r="E72" s="36" t="s">
        <v>483</v>
      </c>
      <c r="F72" s="36" t="s">
        <v>1276</v>
      </c>
      <c r="G72" s="36" t="s">
        <v>481</v>
      </c>
      <c r="H72" s="35" t="s">
        <v>2939</v>
      </c>
      <c r="I72" s="35" t="s">
        <v>2938</v>
      </c>
      <c r="J72" s="32" t="s">
        <v>479</v>
      </c>
    </row>
    <row r="73" spans="1:10" ht="15.75" customHeight="1" x14ac:dyDescent="0.3">
      <c r="A73" s="34" t="s">
        <v>2937</v>
      </c>
      <c r="B73" s="33" t="s">
        <v>2936</v>
      </c>
      <c r="C73" s="34">
        <v>2008</v>
      </c>
      <c r="D73" s="33" t="s">
        <v>2935</v>
      </c>
      <c r="E73" s="34" t="s">
        <v>1277</v>
      </c>
      <c r="F73" s="34" t="s">
        <v>1276</v>
      </c>
      <c r="G73" s="34" t="s">
        <v>481</v>
      </c>
      <c r="H73" s="33"/>
      <c r="I73" s="33" t="s">
        <v>2934</v>
      </c>
      <c r="J73" s="32" t="s">
        <v>479</v>
      </c>
    </row>
    <row r="74" spans="1:10" ht="15.75" customHeight="1" x14ac:dyDescent="0.3">
      <c r="A74" s="36" t="s">
        <v>2933</v>
      </c>
      <c r="B74" s="35" t="s">
        <v>2932</v>
      </c>
      <c r="C74" s="36">
        <v>2019</v>
      </c>
      <c r="D74" s="35" t="s">
        <v>1374</v>
      </c>
      <c r="E74" s="36" t="s">
        <v>1277</v>
      </c>
      <c r="F74" s="36" t="s">
        <v>1276</v>
      </c>
      <c r="G74" s="36" t="s">
        <v>481</v>
      </c>
      <c r="H74" s="35"/>
      <c r="I74" s="35" t="s">
        <v>2931</v>
      </c>
      <c r="J74" s="32" t="s">
        <v>479</v>
      </c>
    </row>
    <row r="75" spans="1:10" ht="15.75" customHeight="1" x14ac:dyDescent="0.3">
      <c r="A75" s="34" t="s">
        <v>2930</v>
      </c>
      <c r="B75" s="33" t="s">
        <v>1040</v>
      </c>
      <c r="C75" s="34">
        <v>2014</v>
      </c>
      <c r="D75" s="33" t="s">
        <v>1441</v>
      </c>
      <c r="E75" s="34" t="s">
        <v>483</v>
      </c>
      <c r="F75" s="34" t="s">
        <v>1276</v>
      </c>
      <c r="G75" s="34" t="s">
        <v>481</v>
      </c>
      <c r="H75" s="33" t="s">
        <v>1039</v>
      </c>
      <c r="I75" s="33" t="s">
        <v>2929</v>
      </c>
      <c r="J75" s="32" t="s">
        <v>479</v>
      </c>
    </row>
    <row r="76" spans="1:10" ht="15.75" customHeight="1" x14ac:dyDescent="0.3">
      <c r="A76" s="36" t="s">
        <v>2928</v>
      </c>
      <c r="B76" s="35" t="s">
        <v>2927</v>
      </c>
      <c r="C76" s="36">
        <v>2008</v>
      </c>
      <c r="D76" s="35" t="s">
        <v>1362</v>
      </c>
      <c r="E76" s="36" t="s">
        <v>1277</v>
      </c>
      <c r="F76" s="36" t="s">
        <v>1276</v>
      </c>
      <c r="G76" s="36" t="s">
        <v>481</v>
      </c>
      <c r="H76" s="35"/>
      <c r="I76" s="35" t="s">
        <v>2926</v>
      </c>
      <c r="J76" s="32" t="s">
        <v>479</v>
      </c>
    </row>
    <row r="77" spans="1:10" ht="15.75" customHeight="1" x14ac:dyDescent="0.3">
      <c r="A77" s="34" t="s">
        <v>2925</v>
      </c>
      <c r="B77" s="33" t="s">
        <v>2782</v>
      </c>
      <c r="C77" s="34">
        <v>2009</v>
      </c>
      <c r="D77" s="33" t="s">
        <v>2924</v>
      </c>
      <c r="E77" s="34" t="s">
        <v>1277</v>
      </c>
      <c r="F77" s="34" t="s">
        <v>1276</v>
      </c>
      <c r="G77" s="34" t="s">
        <v>481</v>
      </c>
      <c r="H77" s="33"/>
      <c r="I77" s="33" t="s">
        <v>2780</v>
      </c>
      <c r="J77" s="32" t="s">
        <v>479</v>
      </c>
    </row>
    <row r="78" spans="1:10" ht="15.75" customHeight="1" x14ac:dyDescent="0.3">
      <c r="A78" s="36" t="s">
        <v>2923</v>
      </c>
      <c r="B78" s="35" t="s">
        <v>944</v>
      </c>
      <c r="C78" s="36">
        <v>2010</v>
      </c>
      <c r="D78" s="35" t="s">
        <v>1565</v>
      </c>
      <c r="E78" s="36" t="s">
        <v>483</v>
      </c>
      <c r="F78" s="36" t="s">
        <v>1276</v>
      </c>
      <c r="G78" s="36" t="s">
        <v>481</v>
      </c>
      <c r="H78" s="35" t="s">
        <v>943</v>
      </c>
      <c r="I78" s="35" t="s">
        <v>2922</v>
      </c>
      <c r="J78" s="32" t="s">
        <v>479</v>
      </c>
    </row>
    <row r="79" spans="1:10" ht="15.75" customHeight="1" x14ac:dyDescent="0.3">
      <c r="A79" s="34" t="s">
        <v>2921</v>
      </c>
      <c r="B79" s="33" t="s">
        <v>2920</v>
      </c>
      <c r="C79" s="34">
        <v>2023</v>
      </c>
      <c r="D79" s="33" t="s">
        <v>1445</v>
      </c>
      <c r="E79" s="34" t="s">
        <v>483</v>
      </c>
      <c r="F79" s="34" t="s">
        <v>1276</v>
      </c>
      <c r="G79" s="34" t="s">
        <v>1357</v>
      </c>
      <c r="H79" s="33" t="s">
        <v>2919</v>
      </c>
      <c r="I79" s="33" t="s">
        <v>2918</v>
      </c>
      <c r="J79" s="32" t="s">
        <v>479</v>
      </c>
    </row>
    <row r="80" spans="1:10" ht="15.75" customHeight="1" x14ac:dyDescent="0.3">
      <c r="A80" s="36" t="s">
        <v>2917</v>
      </c>
      <c r="B80" s="35" t="s">
        <v>2916</v>
      </c>
      <c r="C80" s="36">
        <v>2019</v>
      </c>
      <c r="D80" s="35" t="s">
        <v>1343</v>
      </c>
      <c r="E80" s="36" t="s">
        <v>1277</v>
      </c>
      <c r="F80" s="36" t="s">
        <v>1276</v>
      </c>
      <c r="G80" s="36" t="s">
        <v>481</v>
      </c>
      <c r="H80" s="35" t="s">
        <v>2915</v>
      </c>
      <c r="I80" s="35" t="s">
        <v>2914</v>
      </c>
      <c r="J80" s="32" t="s">
        <v>479</v>
      </c>
    </row>
    <row r="81" spans="1:10" ht="15.75" customHeight="1" x14ac:dyDescent="0.3">
      <c r="A81" s="34" t="s">
        <v>109</v>
      </c>
      <c r="B81" s="33" t="s">
        <v>580</v>
      </c>
      <c r="C81" s="34">
        <v>2022</v>
      </c>
      <c r="D81" s="33" t="s">
        <v>2913</v>
      </c>
      <c r="E81" s="34" t="s">
        <v>483</v>
      </c>
      <c r="F81" s="34" t="s">
        <v>1276</v>
      </c>
      <c r="G81" s="34" t="s">
        <v>481</v>
      </c>
      <c r="H81" s="33" t="s">
        <v>578</v>
      </c>
      <c r="I81" s="33" t="s">
        <v>2912</v>
      </c>
      <c r="J81" s="32" t="s">
        <v>479</v>
      </c>
    </row>
    <row r="82" spans="1:10" ht="15.75" customHeight="1" x14ac:dyDescent="0.3">
      <c r="A82" s="36" t="s">
        <v>2911</v>
      </c>
      <c r="B82" s="35" t="s">
        <v>2185</v>
      </c>
      <c r="C82" s="36">
        <v>2012</v>
      </c>
      <c r="D82" s="35" t="s">
        <v>1374</v>
      </c>
      <c r="E82" s="36" t="s">
        <v>483</v>
      </c>
      <c r="F82" s="36" t="s">
        <v>1276</v>
      </c>
      <c r="G82" s="36" t="s">
        <v>481</v>
      </c>
      <c r="H82" s="35"/>
      <c r="I82" s="35" t="s">
        <v>869</v>
      </c>
      <c r="J82" s="32" t="s">
        <v>479</v>
      </c>
    </row>
    <row r="83" spans="1:10" ht="15.75" customHeight="1" x14ac:dyDescent="0.3">
      <c r="A83" s="34" t="s">
        <v>2910</v>
      </c>
      <c r="B83" s="33" t="s">
        <v>2909</v>
      </c>
      <c r="C83" s="34">
        <v>2013</v>
      </c>
      <c r="D83" s="33" t="s">
        <v>2908</v>
      </c>
      <c r="E83" s="34" t="s">
        <v>1277</v>
      </c>
      <c r="F83" s="34" t="s">
        <v>1276</v>
      </c>
      <c r="G83" s="34" t="s">
        <v>481</v>
      </c>
      <c r="H83" s="33"/>
      <c r="I83" s="33" t="s">
        <v>2907</v>
      </c>
      <c r="J83" s="32" t="s">
        <v>479</v>
      </c>
    </row>
    <row r="84" spans="1:10" ht="15.75" customHeight="1" x14ac:dyDescent="0.3">
      <c r="A84" s="36" t="s">
        <v>2906</v>
      </c>
      <c r="B84" s="35" t="s">
        <v>1063</v>
      </c>
      <c r="C84" s="36">
        <v>2005</v>
      </c>
      <c r="D84" s="35" t="s">
        <v>1343</v>
      </c>
      <c r="E84" s="36" t="s">
        <v>1277</v>
      </c>
      <c r="F84" s="36" t="s">
        <v>1276</v>
      </c>
      <c r="G84" s="36" t="s">
        <v>481</v>
      </c>
      <c r="H84" s="35" t="s">
        <v>1061</v>
      </c>
      <c r="I84" s="35" t="s">
        <v>2905</v>
      </c>
      <c r="J84" s="32" t="s">
        <v>479</v>
      </c>
    </row>
    <row r="85" spans="1:10" ht="15.75" customHeight="1" x14ac:dyDescent="0.3">
      <c r="A85" s="34" t="s">
        <v>2904</v>
      </c>
      <c r="B85" s="33" t="s">
        <v>2903</v>
      </c>
      <c r="C85" s="34">
        <v>2025</v>
      </c>
      <c r="D85" s="33" t="s">
        <v>2902</v>
      </c>
      <c r="E85" s="34" t="s">
        <v>483</v>
      </c>
      <c r="F85" s="34" t="s">
        <v>1276</v>
      </c>
      <c r="G85" s="34" t="s">
        <v>1609</v>
      </c>
      <c r="H85" s="33" t="s">
        <v>2901</v>
      </c>
      <c r="I85" s="33" t="s">
        <v>1401</v>
      </c>
      <c r="J85" s="32" t="s">
        <v>479</v>
      </c>
    </row>
    <row r="86" spans="1:10" ht="15.75" customHeight="1" x14ac:dyDescent="0.3">
      <c r="A86" s="36" t="s">
        <v>2900</v>
      </c>
      <c r="B86" s="35" t="s">
        <v>2899</v>
      </c>
      <c r="C86" s="36">
        <v>2017</v>
      </c>
      <c r="D86" s="35" t="s">
        <v>1582</v>
      </c>
      <c r="E86" s="36" t="s">
        <v>483</v>
      </c>
      <c r="F86" s="36" t="s">
        <v>1276</v>
      </c>
      <c r="G86" s="36" t="s">
        <v>481</v>
      </c>
      <c r="H86" s="35" t="s">
        <v>2898</v>
      </c>
      <c r="I86" s="35" t="s">
        <v>2897</v>
      </c>
      <c r="J86" s="32" t="s">
        <v>479</v>
      </c>
    </row>
    <row r="87" spans="1:10" ht="15.75" customHeight="1" x14ac:dyDescent="0.3">
      <c r="A87" s="34" t="s">
        <v>2896</v>
      </c>
      <c r="B87" s="33" t="s">
        <v>1236</v>
      </c>
      <c r="C87" s="34">
        <v>2022</v>
      </c>
      <c r="D87" s="33" t="s">
        <v>2895</v>
      </c>
      <c r="E87" s="34" t="s">
        <v>483</v>
      </c>
      <c r="F87" s="34" t="s">
        <v>1276</v>
      </c>
      <c r="G87" s="34" t="s">
        <v>481</v>
      </c>
      <c r="H87" s="33" t="s">
        <v>1235</v>
      </c>
      <c r="I87" s="33" t="s">
        <v>2894</v>
      </c>
      <c r="J87" s="32" t="s">
        <v>479</v>
      </c>
    </row>
    <row r="88" spans="1:10" ht="15.75" customHeight="1" x14ac:dyDescent="0.3">
      <c r="A88" s="36" t="s">
        <v>2893</v>
      </c>
      <c r="B88" s="35" t="s">
        <v>2892</v>
      </c>
      <c r="C88" s="36">
        <v>2011</v>
      </c>
      <c r="D88" s="35" t="s">
        <v>2891</v>
      </c>
      <c r="E88" s="36" t="s">
        <v>483</v>
      </c>
      <c r="F88" s="36" t="s">
        <v>1276</v>
      </c>
      <c r="G88" s="36" t="s">
        <v>1357</v>
      </c>
      <c r="H88" s="35" t="s">
        <v>2890</v>
      </c>
      <c r="I88" s="35" t="s">
        <v>2889</v>
      </c>
      <c r="J88" s="32" t="s">
        <v>479</v>
      </c>
    </row>
    <row r="89" spans="1:10" ht="15.75" customHeight="1" x14ac:dyDescent="0.3">
      <c r="A89" s="34" t="s">
        <v>2888</v>
      </c>
      <c r="B89" s="33" t="s">
        <v>2887</v>
      </c>
      <c r="C89" s="34">
        <v>2014</v>
      </c>
      <c r="D89" s="33" t="s">
        <v>1445</v>
      </c>
      <c r="E89" s="34" t="s">
        <v>483</v>
      </c>
      <c r="F89" s="34" t="s">
        <v>1276</v>
      </c>
      <c r="G89" s="34" t="s">
        <v>1357</v>
      </c>
      <c r="H89" s="33" t="s">
        <v>2886</v>
      </c>
      <c r="I89" s="33" t="s">
        <v>2885</v>
      </c>
      <c r="J89" s="32" t="s">
        <v>479</v>
      </c>
    </row>
    <row r="90" spans="1:10" ht="15.75" customHeight="1" x14ac:dyDescent="0.3">
      <c r="A90" s="36" t="s">
        <v>2884</v>
      </c>
      <c r="B90" s="35" t="s">
        <v>1058</v>
      </c>
      <c r="C90" s="36">
        <v>2018</v>
      </c>
      <c r="D90" s="35" t="s">
        <v>2189</v>
      </c>
      <c r="E90" s="36" t="s">
        <v>1277</v>
      </c>
      <c r="F90" s="36" t="s">
        <v>1276</v>
      </c>
      <c r="G90" s="36" t="s">
        <v>481</v>
      </c>
      <c r="H90" s="35" t="s">
        <v>1056</v>
      </c>
      <c r="I90" s="35" t="s">
        <v>2883</v>
      </c>
      <c r="J90" s="32" t="s">
        <v>479</v>
      </c>
    </row>
    <row r="91" spans="1:10" ht="15.75" customHeight="1" x14ac:dyDescent="0.3">
      <c r="A91" s="34" t="s">
        <v>2882</v>
      </c>
      <c r="B91" s="33" t="s">
        <v>2881</v>
      </c>
      <c r="C91" s="34">
        <v>2009</v>
      </c>
      <c r="D91" s="33" t="s">
        <v>1358</v>
      </c>
      <c r="E91" s="34" t="s">
        <v>483</v>
      </c>
      <c r="F91" s="34" t="s">
        <v>1276</v>
      </c>
      <c r="G91" s="34" t="s">
        <v>1357</v>
      </c>
      <c r="H91" s="33"/>
      <c r="I91" s="33" t="s">
        <v>2880</v>
      </c>
      <c r="J91" s="32" t="s">
        <v>479</v>
      </c>
    </row>
    <row r="92" spans="1:10" ht="15.75" customHeight="1" x14ac:dyDescent="0.3">
      <c r="A92" s="36" t="s">
        <v>2879</v>
      </c>
      <c r="B92" s="35" t="s">
        <v>1810</v>
      </c>
      <c r="C92" s="36">
        <v>2007</v>
      </c>
      <c r="D92" s="35" t="s">
        <v>1417</v>
      </c>
      <c r="E92" s="36" t="s">
        <v>1416</v>
      </c>
      <c r="F92" s="36" t="s">
        <v>1276</v>
      </c>
      <c r="G92" s="36" t="s">
        <v>481</v>
      </c>
      <c r="H92" s="35" t="s">
        <v>2878</v>
      </c>
      <c r="I92" s="35" t="s">
        <v>2877</v>
      </c>
      <c r="J92" s="32" t="s">
        <v>479</v>
      </c>
    </row>
    <row r="93" spans="1:10" ht="15.75" customHeight="1" x14ac:dyDescent="0.3">
      <c r="A93" s="34" t="s">
        <v>2876</v>
      </c>
      <c r="B93" s="33" t="s">
        <v>726</v>
      </c>
      <c r="C93" s="34">
        <v>2006</v>
      </c>
      <c r="D93" s="33" t="s">
        <v>2875</v>
      </c>
      <c r="E93" s="34" t="s">
        <v>1277</v>
      </c>
      <c r="F93" s="34" t="s">
        <v>1276</v>
      </c>
      <c r="G93" s="34" t="s">
        <v>481</v>
      </c>
      <c r="H93" s="33" t="s">
        <v>2874</v>
      </c>
      <c r="I93" s="33" t="s">
        <v>2873</v>
      </c>
      <c r="J93" s="32" t="s">
        <v>479</v>
      </c>
    </row>
    <row r="94" spans="1:10" ht="15.75" customHeight="1" x14ac:dyDescent="0.3">
      <c r="A94" s="36" t="s">
        <v>2872</v>
      </c>
      <c r="B94" s="35" t="s">
        <v>2871</v>
      </c>
      <c r="C94" s="36">
        <v>2015</v>
      </c>
      <c r="D94" s="35" t="s">
        <v>2072</v>
      </c>
      <c r="E94" s="36" t="s">
        <v>1277</v>
      </c>
      <c r="F94" s="36" t="s">
        <v>1276</v>
      </c>
      <c r="G94" s="36" t="s">
        <v>481</v>
      </c>
      <c r="H94" s="35" t="s">
        <v>2870</v>
      </c>
      <c r="I94" s="35" t="s">
        <v>2869</v>
      </c>
      <c r="J94" s="32" t="s">
        <v>479</v>
      </c>
    </row>
    <row r="95" spans="1:10" ht="15.75" customHeight="1" x14ac:dyDescent="0.3">
      <c r="A95" s="34" t="s">
        <v>111</v>
      </c>
      <c r="B95" s="33" t="s">
        <v>2868</v>
      </c>
      <c r="C95" s="34">
        <v>2020</v>
      </c>
      <c r="D95" s="33" t="s">
        <v>2867</v>
      </c>
      <c r="E95" s="34" t="s">
        <v>483</v>
      </c>
      <c r="F95" s="34" t="s">
        <v>1276</v>
      </c>
      <c r="G95" s="34" t="s">
        <v>481</v>
      </c>
      <c r="H95" s="33" t="s">
        <v>2866</v>
      </c>
      <c r="I95" s="33" t="s">
        <v>2865</v>
      </c>
      <c r="J95" s="32" t="s">
        <v>479</v>
      </c>
    </row>
    <row r="96" spans="1:10" ht="15.75" customHeight="1" x14ac:dyDescent="0.3">
      <c r="A96" s="36" t="s">
        <v>2864</v>
      </c>
      <c r="B96" s="35" t="s">
        <v>2863</v>
      </c>
      <c r="C96" s="36">
        <v>2024</v>
      </c>
      <c r="D96" s="35" t="s">
        <v>2862</v>
      </c>
      <c r="E96" s="36" t="s">
        <v>483</v>
      </c>
      <c r="F96" s="36" t="s">
        <v>1276</v>
      </c>
      <c r="G96" s="36" t="s">
        <v>1357</v>
      </c>
      <c r="H96" s="35" t="s">
        <v>2861</v>
      </c>
      <c r="I96" s="35" t="s">
        <v>2860</v>
      </c>
      <c r="J96" s="32" t="s">
        <v>479</v>
      </c>
    </row>
    <row r="97" spans="1:10" ht="15.75" customHeight="1" x14ac:dyDescent="0.3">
      <c r="A97" s="34" t="s">
        <v>2859</v>
      </c>
      <c r="B97" s="33" t="s">
        <v>2858</v>
      </c>
      <c r="C97" s="34">
        <v>2023</v>
      </c>
      <c r="D97" s="33" t="s">
        <v>2088</v>
      </c>
      <c r="E97" s="34" t="s">
        <v>483</v>
      </c>
      <c r="F97" s="34" t="s">
        <v>1276</v>
      </c>
      <c r="G97" s="34" t="s">
        <v>481</v>
      </c>
      <c r="H97" s="33" t="s">
        <v>2857</v>
      </c>
      <c r="I97" s="33" t="s">
        <v>2856</v>
      </c>
      <c r="J97" s="32" t="s">
        <v>479</v>
      </c>
    </row>
    <row r="98" spans="1:10" ht="15.75" customHeight="1" x14ac:dyDescent="0.3">
      <c r="A98" s="36" t="s">
        <v>2855</v>
      </c>
      <c r="B98" s="35" t="s">
        <v>2854</v>
      </c>
      <c r="C98" s="36">
        <v>2002</v>
      </c>
      <c r="D98" s="35" t="s">
        <v>2853</v>
      </c>
      <c r="E98" s="36" t="s">
        <v>1277</v>
      </c>
      <c r="F98" s="36" t="s">
        <v>1276</v>
      </c>
      <c r="G98" s="36" t="s">
        <v>481</v>
      </c>
      <c r="H98" s="35" t="s">
        <v>2852</v>
      </c>
      <c r="I98" s="35" t="s">
        <v>2851</v>
      </c>
      <c r="J98" s="32" t="s">
        <v>479</v>
      </c>
    </row>
    <row r="99" spans="1:10" ht="15.75" customHeight="1" x14ac:dyDescent="0.3">
      <c r="A99" s="34" t="s">
        <v>115</v>
      </c>
      <c r="B99" s="33" t="s">
        <v>1272</v>
      </c>
      <c r="C99" s="34">
        <v>2024</v>
      </c>
      <c r="D99" s="33" t="s">
        <v>2437</v>
      </c>
      <c r="E99" s="34" t="s">
        <v>483</v>
      </c>
      <c r="F99" s="34" t="s">
        <v>1276</v>
      </c>
      <c r="G99" s="34" t="s">
        <v>481</v>
      </c>
      <c r="H99" s="33" t="s">
        <v>1270</v>
      </c>
      <c r="I99" s="33" t="s">
        <v>2850</v>
      </c>
      <c r="J99" s="32" t="s">
        <v>479</v>
      </c>
    </row>
    <row r="100" spans="1:10" ht="15.75" customHeight="1" x14ac:dyDescent="0.3">
      <c r="A100" s="36" t="s">
        <v>2849</v>
      </c>
      <c r="B100" s="35" t="s">
        <v>2848</v>
      </c>
      <c r="C100" s="36">
        <v>2017</v>
      </c>
      <c r="D100" s="35" t="s">
        <v>2189</v>
      </c>
      <c r="E100" s="36" t="s">
        <v>1277</v>
      </c>
      <c r="F100" s="36" t="s">
        <v>1276</v>
      </c>
      <c r="G100" s="36" t="s">
        <v>481</v>
      </c>
      <c r="H100" s="35" t="s">
        <v>2847</v>
      </c>
      <c r="I100" s="35" t="s">
        <v>2846</v>
      </c>
      <c r="J100" s="32" t="s">
        <v>479</v>
      </c>
    </row>
    <row r="101" spans="1:10" ht="15.75" customHeight="1" x14ac:dyDescent="0.3">
      <c r="A101" s="34" t="s">
        <v>2845</v>
      </c>
      <c r="B101" s="33" t="s">
        <v>2253</v>
      </c>
      <c r="C101" s="34">
        <v>2009</v>
      </c>
      <c r="D101" s="33" t="s">
        <v>1374</v>
      </c>
      <c r="E101" s="34" t="s">
        <v>483</v>
      </c>
      <c r="F101" s="34" t="s">
        <v>1276</v>
      </c>
      <c r="G101" s="34" t="s">
        <v>481</v>
      </c>
      <c r="H101" s="33"/>
      <c r="I101" s="33" t="s">
        <v>2251</v>
      </c>
      <c r="J101" s="32" t="s">
        <v>479</v>
      </c>
    </row>
    <row r="102" spans="1:10" ht="15.75" customHeight="1" x14ac:dyDescent="0.3">
      <c r="A102" s="36" t="s">
        <v>117</v>
      </c>
      <c r="B102" s="35" t="s">
        <v>2844</v>
      </c>
      <c r="C102" s="36">
        <v>2025</v>
      </c>
      <c r="D102" s="35" t="s">
        <v>2843</v>
      </c>
      <c r="E102" s="36" t="s">
        <v>483</v>
      </c>
      <c r="F102" s="36" t="s">
        <v>1276</v>
      </c>
      <c r="G102" s="36" t="s">
        <v>481</v>
      </c>
      <c r="H102" s="35"/>
      <c r="I102" s="35" t="s">
        <v>2842</v>
      </c>
      <c r="J102" s="32" t="s">
        <v>479</v>
      </c>
    </row>
    <row r="103" spans="1:10" ht="15.75" customHeight="1" x14ac:dyDescent="0.3">
      <c r="A103" s="34" t="s">
        <v>2841</v>
      </c>
      <c r="B103" s="33" t="s">
        <v>2840</v>
      </c>
      <c r="C103" s="34">
        <v>2016</v>
      </c>
      <c r="D103" s="33" t="s">
        <v>1754</v>
      </c>
      <c r="E103" s="34" t="s">
        <v>1277</v>
      </c>
      <c r="F103" s="34" t="s">
        <v>1276</v>
      </c>
      <c r="G103" s="34" t="s">
        <v>481</v>
      </c>
      <c r="H103" s="33" t="s">
        <v>2839</v>
      </c>
      <c r="I103" s="33" t="s">
        <v>2838</v>
      </c>
      <c r="J103" s="32" t="s">
        <v>479</v>
      </c>
    </row>
    <row r="104" spans="1:10" ht="15.75" customHeight="1" x14ac:dyDescent="0.3">
      <c r="A104" s="36" t="s">
        <v>2837</v>
      </c>
      <c r="B104" s="35" t="s">
        <v>2551</v>
      </c>
      <c r="C104" s="36">
        <v>2008</v>
      </c>
      <c r="D104" s="35" t="s">
        <v>1938</v>
      </c>
      <c r="E104" s="36" t="s">
        <v>1277</v>
      </c>
      <c r="F104" s="36" t="s">
        <v>1276</v>
      </c>
      <c r="G104" s="36" t="s">
        <v>481</v>
      </c>
      <c r="H104" s="35"/>
      <c r="I104" s="35" t="s">
        <v>2836</v>
      </c>
      <c r="J104" s="32" t="s">
        <v>479</v>
      </c>
    </row>
    <row r="105" spans="1:10" ht="15.75" customHeight="1" x14ac:dyDescent="0.3">
      <c r="A105" s="34" t="s">
        <v>2835</v>
      </c>
      <c r="B105" s="33" t="s">
        <v>692</v>
      </c>
      <c r="C105" s="34">
        <v>2025</v>
      </c>
      <c r="D105" s="33" t="s">
        <v>1600</v>
      </c>
      <c r="E105" s="34" t="s">
        <v>483</v>
      </c>
      <c r="F105" s="34" t="s">
        <v>1276</v>
      </c>
      <c r="G105" s="34" t="s">
        <v>481</v>
      </c>
      <c r="H105" s="33" t="s">
        <v>690</v>
      </c>
      <c r="I105" s="33" t="s">
        <v>2834</v>
      </c>
      <c r="J105" s="32" t="s">
        <v>479</v>
      </c>
    </row>
    <row r="106" spans="1:10" ht="15.75" customHeight="1" x14ac:dyDescent="0.3">
      <c r="A106" s="36" t="s">
        <v>121</v>
      </c>
      <c r="B106" s="35" t="s">
        <v>919</v>
      </c>
      <c r="C106" s="36">
        <v>2024</v>
      </c>
      <c r="D106" s="35" t="s">
        <v>2833</v>
      </c>
      <c r="E106" s="36" t="s">
        <v>483</v>
      </c>
      <c r="F106" s="36" t="s">
        <v>1276</v>
      </c>
      <c r="G106" s="36" t="s">
        <v>481</v>
      </c>
      <c r="H106" s="35" t="s">
        <v>917</v>
      </c>
      <c r="I106" s="35" t="s">
        <v>2832</v>
      </c>
      <c r="J106" s="32" t="s">
        <v>479</v>
      </c>
    </row>
    <row r="107" spans="1:10" ht="15.75" customHeight="1" x14ac:dyDescent="0.3">
      <c r="A107" s="34" t="s">
        <v>127</v>
      </c>
      <c r="B107" s="33" t="s">
        <v>2831</v>
      </c>
      <c r="C107" s="34">
        <v>2023</v>
      </c>
      <c r="D107" s="33" t="s">
        <v>1386</v>
      </c>
      <c r="E107" s="34" t="s">
        <v>483</v>
      </c>
      <c r="F107" s="34" t="s">
        <v>1276</v>
      </c>
      <c r="G107" s="34" t="s">
        <v>481</v>
      </c>
      <c r="H107" s="33" t="s">
        <v>2830</v>
      </c>
      <c r="I107" s="33" t="s">
        <v>2829</v>
      </c>
      <c r="J107" s="32" t="s">
        <v>479</v>
      </c>
    </row>
    <row r="108" spans="1:10" ht="15.75" customHeight="1" x14ac:dyDescent="0.3">
      <c r="A108" s="36" t="s">
        <v>2828</v>
      </c>
      <c r="B108" s="35" t="s">
        <v>2827</v>
      </c>
      <c r="C108" s="36">
        <v>2009</v>
      </c>
      <c r="D108" s="35" t="s">
        <v>2132</v>
      </c>
      <c r="E108" s="36" t="s">
        <v>1277</v>
      </c>
      <c r="F108" s="36" t="s">
        <v>1276</v>
      </c>
      <c r="G108" s="36" t="s">
        <v>481</v>
      </c>
      <c r="H108" s="35" t="s">
        <v>2826</v>
      </c>
      <c r="I108" s="35" t="s">
        <v>2825</v>
      </c>
      <c r="J108" s="32" t="s">
        <v>479</v>
      </c>
    </row>
    <row r="109" spans="1:10" ht="15.75" customHeight="1" x14ac:dyDescent="0.3">
      <c r="A109" s="34" t="s">
        <v>2824</v>
      </c>
      <c r="B109" s="33" t="s">
        <v>2823</v>
      </c>
      <c r="C109" s="34">
        <v>2019</v>
      </c>
      <c r="D109" s="33" t="s">
        <v>1358</v>
      </c>
      <c r="E109" s="34" t="s">
        <v>483</v>
      </c>
      <c r="F109" s="34" t="s">
        <v>1276</v>
      </c>
      <c r="G109" s="34" t="s">
        <v>1357</v>
      </c>
      <c r="H109" s="33" t="s">
        <v>2822</v>
      </c>
      <c r="I109" s="33" t="s">
        <v>2821</v>
      </c>
      <c r="J109" s="32" t="s">
        <v>479</v>
      </c>
    </row>
    <row r="110" spans="1:10" ht="15.75" customHeight="1" x14ac:dyDescent="0.3">
      <c r="A110" s="36" t="s">
        <v>2820</v>
      </c>
      <c r="B110" s="35" t="s">
        <v>2819</v>
      </c>
      <c r="C110" s="36">
        <v>2013</v>
      </c>
      <c r="D110" s="35" t="s">
        <v>1288</v>
      </c>
      <c r="E110" s="36" t="s">
        <v>483</v>
      </c>
      <c r="F110" s="36" t="s">
        <v>1276</v>
      </c>
      <c r="G110" s="36" t="s">
        <v>481</v>
      </c>
      <c r="H110" s="35" t="s">
        <v>2818</v>
      </c>
      <c r="I110" s="35" t="s">
        <v>2817</v>
      </c>
      <c r="J110" s="32" t="s">
        <v>479</v>
      </c>
    </row>
    <row r="111" spans="1:10" ht="15.75" customHeight="1" x14ac:dyDescent="0.3">
      <c r="A111" s="34" t="s">
        <v>2816</v>
      </c>
      <c r="B111" s="33" t="s">
        <v>2815</v>
      </c>
      <c r="C111" s="34">
        <v>2014</v>
      </c>
      <c r="D111" s="33" t="s">
        <v>1764</v>
      </c>
      <c r="E111" s="34" t="s">
        <v>1277</v>
      </c>
      <c r="F111" s="34" t="s">
        <v>1276</v>
      </c>
      <c r="G111" s="34" t="s">
        <v>481</v>
      </c>
      <c r="H111" s="33" t="s">
        <v>2814</v>
      </c>
      <c r="I111" s="33" t="s">
        <v>1401</v>
      </c>
      <c r="J111" s="32" t="s">
        <v>479</v>
      </c>
    </row>
    <row r="112" spans="1:10" ht="15.75" customHeight="1" x14ac:dyDescent="0.3">
      <c r="A112" s="36" t="s">
        <v>130</v>
      </c>
      <c r="B112" s="35" t="s">
        <v>1049</v>
      </c>
      <c r="C112" s="36">
        <v>2025</v>
      </c>
      <c r="D112" s="35" t="s">
        <v>1561</v>
      </c>
      <c r="E112" s="36" t="s">
        <v>483</v>
      </c>
      <c r="F112" s="36" t="s">
        <v>1276</v>
      </c>
      <c r="G112" s="36" t="s">
        <v>481</v>
      </c>
      <c r="H112" s="35" t="s">
        <v>1048</v>
      </c>
      <c r="I112" s="35" t="s">
        <v>2813</v>
      </c>
      <c r="J112" s="32" t="s">
        <v>479</v>
      </c>
    </row>
    <row r="113" spans="1:10" ht="15.75" customHeight="1" x14ac:dyDescent="0.3">
      <c r="A113" s="34" t="s">
        <v>2812</v>
      </c>
      <c r="B113" s="33" t="s">
        <v>2811</v>
      </c>
      <c r="C113" s="34">
        <v>2016</v>
      </c>
      <c r="D113" s="33" t="s">
        <v>2810</v>
      </c>
      <c r="E113" s="34" t="s">
        <v>1277</v>
      </c>
      <c r="F113" s="34" t="s">
        <v>1276</v>
      </c>
      <c r="G113" s="34" t="s">
        <v>481</v>
      </c>
      <c r="H113" s="33" t="s">
        <v>2809</v>
      </c>
      <c r="I113" s="33" t="s">
        <v>2808</v>
      </c>
      <c r="J113" s="32" t="s">
        <v>479</v>
      </c>
    </row>
    <row r="114" spans="1:10" ht="15.75" customHeight="1" x14ac:dyDescent="0.3">
      <c r="A114" s="36" t="s">
        <v>134</v>
      </c>
      <c r="B114" s="35" t="s">
        <v>2807</v>
      </c>
      <c r="C114" s="36">
        <v>2022</v>
      </c>
      <c r="D114" s="35" t="s">
        <v>1438</v>
      </c>
      <c r="E114" s="36" t="s">
        <v>483</v>
      </c>
      <c r="F114" s="36" t="s">
        <v>1276</v>
      </c>
      <c r="G114" s="36" t="s">
        <v>481</v>
      </c>
      <c r="H114" s="35" t="s">
        <v>2806</v>
      </c>
      <c r="I114" s="35" t="s">
        <v>2805</v>
      </c>
      <c r="J114" s="32" t="s">
        <v>479</v>
      </c>
    </row>
    <row r="115" spans="1:10" ht="15.75" customHeight="1" x14ac:dyDescent="0.3">
      <c r="A115" s="34" t="s">
        <v>2804</v>
      </c>
      <c r="B115" s="33" t="s">
        <v>2803</v>
      </c>
      <c r="C115" s="34">
        <v>2024</v>
      </c>
      <c r="D115" s="33" t="s">
        <v>2802</v>
      </c>
      <c r="E115" s="34" t="s">
        <v>1277</v>
      </c>
      <c r="F115" s="34" t="s">
        <v>1276</v>
      </c>
      <c r="G115" s="34" t="s">
        <v>481</v>
      </c>
      <c r="H115" s="33"/>
      <c r="I115" s="33" t="s">
        <v>2801</v>
      </c>
      <c r="J115" s="32" t="s">
        <v>479</v>
      </c>
    </row>
    <row r="116" spans="1:10" ht="15.75" customHeight="1" x14ac:dyDescent="0.3">
      <c r="A116" s="36" t="s">
        <v>2800</v>
      </c>
      <c r="B116" s="35" t="s">
        <v>2799</v>
      </c>
      <c r="C116" s="36">
        <v>2016</v>
      </c>
      <c r="D116" s="35" t="s">
        <v>2798</v>
      </c>
      <c r="E116" s="36" t="s">
        <v>1277</v>
      </c>
      <c r="F116" s="36" t="s">
        <v>1276</v>
      </c>
      <c r="G116" s="36" t="s">
        <v>481</v>
      </c>
      <c r="H116" s="35" t="s">
        <v>2797</v>
      </c>
      <c r="I116" s="35" t="s">
        <v>2796</v>
      </c>
      <c r="J116" s="32" t="s">
        <v>479</v>
      </c>
    </row>
    <row r="117" spans="1:10" ht="15.75" customHeight="1" x14ac:dyDescent="0.3">
      <c r="A117" s="34" t="s">
        <v>2795</v>
      </c>
      <c r="B117" s="33" t="s">
        <v>2794</v>
      </c>
      <c r="C117" s="34">
        <v>2010</v>
      </c>
      <c r="D117" s="33" t="s">
        <v>2793</v>
      </c>
      <c r="E117" s="34" t="s">
        <v>483</v>
      </c>
      <c r="F117" s="34" t="s">
        <v>1276</v>
      </c>
      <c r="G117" s="34" t="s">
        <v>481</v>
      </c>
      <c r="H117" s="33" t="s">
        <v>2792</v>
      </c>
      <c r="I117" s="33" t="s">
        <v>2791</v>
      </c>
      <c r="J117" s="32" t="s">
        <v>479</v>
      </c>
    </row>
    <row r="118" spans="1:10" ht="15.75" customHeight="1" x14ac:dyDescent="0.3">
      <c r="A118" s="36" t="s">
        <v>2790</v>
      </c>
      <c r="B118" s="35" t="s">
        <v>1566</v>
      </c>
      <c r="C118" s="36">
        <v>2005</v>
      </c>
      <c r="D118" s="35" t="s">
        <v>1693</v>
      </c>
      <c r="E118" s="36" t="s">
        <v>1416</v>
      </c>
      <c r="F118" s="36" t="s">
        <v>1276</v>
      </c>
      <c r="G118" s="36" t="s">
        <v>481</v>
      </c>
      <c r="H118" s="35" t="s">
        <v>2789</v>
      </c>
      <c r="I118" s="35" t="s">
        <v>2788</v>
      </c>
      <c r="J118" s="32" t="s">
        <v>479</v>
      </c>
    </row>
    <row r="119" spans="1:10" ht="15.75" customHeight="1" x14ac:dyDescent="0.3">
      <c r="A119" s="34" t="s">
        <v>2787</v>
      </c>
      <c r="B119" s="33" t="s">
        <v>2786</v>
      </c>
      <c r="C119" s="34">
        <v>2013</v>
      </c>
      <c r="D119" s="33" t="s">
        <v>2785</v>
      </c>
      <c r="E119" s="34" t="s">
        <v>483</v>
      </c>
      <c r="F119" s="34" t="s">
        <v>1276</v>
      </c>
      <c r="G119" s="34" t="s">
        <v>481</v>
      </c>
      <c r="H119" s="33"/>
      <c r="I119" s="33" t="s">
        <v>2784</v>
      </c>
      <c r="J119" s="32" t="s">
        <v>479</v>
      </c>
    </row>
    <row r="120" spans="1:10" ht="15.75" customHeight="1" x14ac:dyDescent="0.3">
      <c r="A120" s="36" t="s">
        <v>2783</v>
      </c>
      <c r="B120" s="35" t="s">
        <v>2782</v>
      </c>
      <c r="C120" s="36">
        <v>2009</v>
      </c>
      <c r="D120" s="35" t="s">
        <v>2781</v>
      </c>
      <c r="E120" s="36" t="s">
        <v>1277</v>
      </c>
      <c r="F120" s="36" t="s">
        <v>1276</v>
      </c>
      <c r="G120" s="36" t="s">
        <v>481</v>
      </c>
      <c r="H120" s="35"/>
      <c r="I120" s="35" t="s">
        <v>2780</v>
      </c>
      <c r="J120" s="32" t="s">
        <v>479</v>
      </c>
    </row>
    <row r="121" spans="1:10" ht="15.75" customHeight="1" x14ac:dyDescent="0.3">
      <c r="A121" s="34" t="s">
        <v>2779</v>
      </c>
      <c r="B121" s="33" t="s">
        <v>2778</v>
      </c>
      <c r="C121" s="34">
        <v>2012</v>
      </c>
      <c r="D121" s="33" t="s">
        <v>2777</v>
      </c>
      <c r="E121" s="34" t="s">
        <v>1277</v>
      </c>
      <c r="F121" s="34" t="s">
        <v>1276</v>
      </c>
      <c r="G121" s="34" t="s">
        <v>481</v>
      </c>
      <c r="H121" s="33"/>
      <c r="I121" s="33" t="s">
        <v>2776</v>
      </c>
      <c r="J121" s="32" t="s">
        <v>479</v>
      </c>
    </row>
    <row r="122" spans="1:10" ht="15.75" customHeight="1" x14ac:dyDescent="0.3">
      <c r="A122" s="36" t="s">
        <v>137</v>
      </c>
      <c r="B122" s="35" t="s">
        <v>2775</v>
      </c>
      <c r="C122" s="36">
        <v>2023</v>
      </c>
      <c r="D122" s="35" t="s">
        <v>1438</v>
      </c>
      <c r="E122" s="36" t="s">
        <v>483</v>
      </c>
      <c r="F122" s="36" t="s">
        <v>1276</v>
      </c>
      <c r="G122" s="36" t="s">
        <v>481</v>
      </c>
      <c r="H122" s="35" t="s">
        <v>2774</v>
      </c>
      <c r="I122" s="35" t="s">
        <v>2773</v>
      </c>
      <c r="J122" s="32" t="s">
        <v>479</v>
      </c>
    </row>
    <row r="123" spans="1:10" ht="15.75" customHeight="1" x14ac:dyDescent="0.3">
      <c r="A123" s="34" t="s">
        <v>2772</v>
      </c>
      <c r="B123" s="33" t="s">
        <v>2771</v>
      </c>
      <c r="C123" s="34">
        <v>2008</v>
      </c>
      <c r="D123" s="33" t="s">
        <v>1971</v>
      </c>
      <c r="E123" s="34" t="s">
        <v>483</v>
      </c>
      <c r="F123" s="34" t="s">
        <v>1276</v>
      </c>
      <c r="G123" s="34" t="s">
        <v>481</v>
      </c>
      <c r="H123" s="33" t="s">
        <v>2770</v>
      </c>
      <c r="I123" s="33" t="s">
        <v>2769</v>
      </c>
      <c r="J123" s="32" t="s">
        <v>479</v>
      </c>
    </row>
    <row r="124" spans="1:10" ht="15.75" customHeight="1" x14ac:dyDescent="0.3">
      <c r="A124" s="36" t="s">
        <v>2768</v>
      </c>
      <c r="B124" s="35" t="s">
        <v>2767</v>
      </c>
      <c r="C124" s="36">
        <v>2021</v>
      </c>
      <c r="D124" s="35" t="s">
        <v>1358</v>
      </c>
      <c r="E124" s="36" t="s">
        <v>483</v>
      </c>
      <c r="F124" s="36" t="s">
        <v>1276</v>
      </c>
      <c r="G124" s="36" t="s">
        <v>1357</v>
      </c>
      <c r="H124" s="35" t="s">
        <v>2766</v>
      </c>
      <c r="I124" s="35" t="s">
        <v>2765</v>
      </c>
      <c r="J124" s="32" t="s">
        <v>479</v>
      </c>
    </row>
    <row r="125" spans="1:10" ht="15.75" customHeight="1" x14ac:dyDescent="0.3">
      <c r="A125" s="34" t="s">
        <v>2764</v>
      </c>
      <c r="B125" s="33" t="s">
        <v>1694</v>
      </c>
      <c r="C125" s="34">
        <v>2004</v>
      </c>
      <c r="D125" s="33" t="s">
        <v>1565</v>
      </c>
      <c r="E125" s="34" t="s">
        <v>483</v>
      </c>
      <c r="F125" s="34" t="s">
        <v>1276</v>
      </c>
      <c r="G125" s="34" t="s">
        <v>481</v>
      </c>
      <c r="H125" s="33" t="s">
        <v>2763</v>
      </c>
      <c r="I125" s="33" t="s">
        <v>2762</v>
      </c>
      <c r="J125" s="32" t="s">
        <v>479</v>
      </c>
    </row>
    <row r="126" spans="1:10" ht="15.75" customHeight="1" x14ac:dyDescent="0.3">
      <c r="A126" s="36" t="s">
        <v>140</v>
      </c>
      <c r="B126" s="35" t="s">
        <v>2761</v>
      </c>
      <c r="C126" s="36">
        <v>2016</v>
      </c>
      <c r="D126" s="35" t="s">
        <v>1410</v>
      </c>
      <c r="E126" s="36" t="s">
        <v>483</v>
      </c>
      <c r="F126" s="36" t="s">
        <v>1276</v>
      </c>
      <c r="G126" s="36" t="s">
        <v>481</v>
      </c>
      <c r="H126" s="35" t="s">
        <v>2760</v>
      </c>
      <c r="I126" s="35" t="s">
        <v>2759</v>
      </c>
      <c r="J126" s="32" t="s">
        <v>479</v>
      </c>
    </row>
    <row r="127" spans="1:10" ht="15.75" customHeight="1" x14ac:dyDescent="0.3">
      <c r="A127" s="34" t="s">
        <v>2758</v>
      </c>
      <c r="B127" s="33" t="s">
        <v>2757</v>
      </c>
      <c r="C127" s="34">
        <v>2010</v>
      </c>
      <c r="D127" s="33" t="s">
        <v>2756</v>
      </c>
      <c r="E127" s="34" t="s">
        <v>1277</v>
      </c>
      <c r="F127" s="34" t="s">
        <v>1276</v>
      </c>
      <c r="G127" s="34" t="s">
        <v>481</v>
      </c>
      <c r="H127" s="33" t="s">
        <v>2755</v>
      </c>
      <c r="I127" s="33" t="s">
        <v>2754</v>
      </c>
      <c r="J127" s="32" t="s">
        <v>479</v>
      </c>
    </row>
    <row r="128" spans="1:10" ht="15.75" customHeight="1" x14ac:dyDescent="0.3">
      <c r="A128" s="36" t="s">
        <v>2753</v>
      </c>
      <c r="B128" s="35" t="s">
        <v>862</v>
      </c>
      <c r="C128" s="36">
        <v>2024</v>
      </c>
      <c r="D128" s="35" t="s">
        <v>2248</v>
      </c>
      <c r="E128" s="36" t="s">
        <v>483</v>
      </c>
      <c r="F128" s="36" t="s">
        <v>1276</v>
      </c>
      <c r="G128" s="36" t="s">
        <v>481</v>
      </c>
      <c r="H128" s="35" t="s">
        <v>860</v>
      </c>
      <c r="I128" s="35" t="s">
        <v>2752</v>
      </c>
      <c r="J128" s="32" t="s">
        <v>479</v>
      </c>
    </row>
    <row r="129" spans="1:10" ht="15.75" customHeight="1" x14ac:dyDescent="0.3">
      <c r="A129" s="34" t="s">
        <v>142</v>
      </c>
      <c r="B129" s="33" t="s">
        <v>2751</v>
      </c>
      <c r="C129" s="34">
        <v>2023</v>
      </c>
      <c r="D129" s="33" t="s">
        <v>1386</v>
      </c>
      <c r="E129" s="34" t="s">
        <v>483</v>
      </c>
      <c r="F129" s="34" t="s">
        <v>1276</v>
      </c>
      <c r="G129" s="34" t="s">
        <v>481</v>
      </c>
      <c r="H129" s="33" t="s">
        <v>2750</v>
      </c>
      <c r="I129" s="33" t="s">
        <v>2749</v>
      </c>
      <c r="J129" s="32" t="s">
        <v>479</v>
      </c>
    </row>
    <row r="130" spans="1:10" ht="15.75" customHeight="1" x14ac:dyDescent="0.3">
      <c r="A130" s="36" t="s">
        <v>143</v>
      </c>
      <c r="B130" s="35" t="s">
        <v>910</v>
      </c>
      <c r="C130" s="36">
        <v>2024</v>
      </c>
      <c r="D130" s="35" t="s">
        <v>1872</v>
      </c>
      <c r="E130" s="36" t="s">
        <v>483</v>
      </c>
      <c r="F130" s="36" t="s">
        <v>1276</v>
      </c>
      <c r="G130" s="36" t="s">
        <v>481</v>
      </c>
      <c r="H130" s="35" t="s">
        <v>908</v>
      </c>
      <c r="I130" s="35" t="s">
        <v>2748</v>
      </c>
      <c r="J130" s="32" t="s">
        <v>479</v>
      </c>
    </row>
    <row r="131" spans="1:10" ht="15.75" customHeight="1" x14ac:dyDescent="0.3">
      <c r="A131" s="34" t="s">
        <v>148</v>
      </c>
      <c r="B131" s="33" t="s">
        <v>504</v>
      </c>
      <c r="C131" s="34">
        <v>2017</v>
      </c>
      <c r="D131" s="33" t="s">
        <v>1441</v>
      </c>
      <c r="E131" s="34" t="s">
        <v>483</v>
      </c>
      <c r="F131" s="34" t="s">
        <v>1276</v>
      </c>
      <c r="G131" s="34" t="s">
        <v>481</v>
      </c>
      <c r="H131" s="33" t="s">
        <v>502</v>
      </c>
      <c r="I131" s="33" t="s">
        <v>2747</v>
      </c>
      <c r="J131" s="32" t="s">
        <v>479</v>
      </c>
    </row>
    <row r="132" spans="1:10" ht="15.75" customHeight="1" x14ac:dyDescent="0.3">
      <c r="A132" s="36" t="s">
        <v>150</v>
      </c>
      <c r="B132" s="35" t="s">
        <v>2746</v>
      </c>
      <c r="C132" s="36">
        <v>2015</v>
      </c>
      <c r="D132" s="35" t="s">
        <v>2103</v>
      </c>
      <c r="E132" s="36" t="s">
        <v>483</v>
      </c>
      <c r="F132" s="36" t="s">
        <v>1276</v>
      </c>
      <c r="G132" s="36" t="s">
        <v>481</v>
      </c>
      <c r="H132" s="35" t="s">
        <v>2745</v>
      </c>
      <c r="I132" s="35" t="s">
        <v>2744</v>
      </c>
      <c r="J132" s="32" t="s">
        <v>479</v>
      </c>
    </row>
    <row r="133" spans="1:10" ht="15.75" customHeight="1" x14ac:dyDescent="0.3">
      <c r="A133" s="34" t="s">
        <v>2743</v>
      </c>
      <c r="B133" s="33" t="s">
        <v>2742</v>
      </c>
      <c r="C133" s="34">
        <v>2020</v>
      </c>
      <c r="D133" s="33" t="s">
        <v>1971</v>
      </c>
      <c r="E133" s="34" t="s">
        <v>483</v>
      </c>
      <c r="F133" s="34" t="s">
        <v>1276</v>
      </c>
      <c r="G133" s="34" t="s">
        <v>481</v>
      </c>
      <c r="H133" s="33" t="s">
        <v>2741</v>
      </c>
      <c r="I133" s="33" t="s">
        <v>2740</v>
      </c>
      <c r="J133" s="32" t="s">
        <v>479</v>
      </c>
    </row>
    <row r="134" spans="1:10" ht="15.75" customHeight="1" x14ac:dyDescent="0.3">
      <c r="A134" s="36" t="s">
        <v>154</v>
      </c>
      <c r="B134" s="35" t="s">
        <v>2739</v>
      </c>
      <c r="C134" s="36">
        <v>2020</v>
      </c>
      <c r="D134" s="35" t="s">
        <v>1386</v>
      </c>
      <c r="E134" s="36" t="s">
        <v>483</v>
      </c>
      <c r="F134" s="36" t="s">
        <v>1276</v>
      </c>
      <c r="G134" s="36" t="s">
        <v>481</v>
      </c>
      <c r="H134" s="35" t="s">
        <v>2738</v>
      </c>
      <c r="I134" s="35" t="s">
        <v>2737</v>
      </c>
      <c r="J134" s="32" t="s">
        <v>479</v>
      </c>
    </row>
    <row r="135" spans="1:10" ht="15.75" customHeight="1" x14ac:dyDescent="0.3">
      <c r="A135" s="34" t="s">
        <v>2736</v>
      </c>
      <c r="B135" s="33" t="s">
        <v>2735</v>
      </c>
      <c r="C135" s="34">
        <v>2009</v>
      </c>
      <c r="D135" s="33" t="s">
        <v>2734</v>
      </c>
      <c r="E135" s="34" t="s">
        <v>1277</v>
      </c>
      <c r="F135" s="34" t="s">
        <v>1276</v>
      </c>
      <c r="G135" s="34" t="s">
        <v>481</v>
      </c>
      <c r="H135" s="33" t="s">
        <v>2733</v>
      </c>
      <c r="I135" s="33" t="s">
        <v>2732</v>
      </c>
      <c r="J135" s="32" t="s">
        <v>479</v>
      </c>
    </row>
    <row r="136" spans="1:10" ht="15.75" customHeight="1" x14ac:dyDescent="0.3">
      <c r="A136" s="36" t="s">
        <v>2731</v>
      </c>
      <c r="B136" s="35" t="s">
        <v>2730</v>
      </c>
      <c r="C136" s="36">
        <v>2017</v>
      </c>
      <c r="D136" s="35" t="s">
        <v>2729</v>
      </c>
      <c r="E136" s="36" t="s">
        <v>1277</v>
      </c>
      <c r="F136" s="36" t="s">
        <v>1276</v>
      </c>
      <c r="G136" s="36" t="s">
        <v>481</v>
      </c>
      <c r="H136" s="35" t="s">
        <v>2728</v>
      </c>
      <c r="I136" s="35" t="s">
        <v>2727</v>
      </c>
      <c r="J136" s="32" t="s">
        <v>479</v>
      </c>
    </row>
    <row r="137" spans="1:10" ht="15.75" customHeight="1" x14ac:dyDescent="0.3">
      <c r="A137" s="34" t="s">
        <v>2726</v>
      </c>
      <c r="B137" s="33" t="s">
        <v>2725</v>
      </c>
      <c r="C137" s="34">
        <v>2019</v>
      </c>
      <c r="D137" s="33" t="s">
        <v>1516</v>
      </c>
      <c r="E137" s="34" t="s">
        <v>483</v>
      </c>
      <c r="F137" s="34" t="s">
        <v>1276</v>
      </c>
      <c r="G137" s="34" t="s">
        <v>481</v>
      </c>
      <c r="H137" s="33" t="s">
        <v>2724</v>
      </c>
      <c r="I137" s="33" t="s">
        <v>2723</v>
      </c>
      <c r="J137" s="32" t="s">
        <v>479</v>
      </c>
    </row>
    <row r="138" spans="1:10" ht="15.75" customHeight="1" x14ac:dyDescent="0.3">
      <c r="A138" s="36" t="s">
        <v>2722</v>
      </c>
      <c r="B138" s="35" t="s">
        <v>2721</v>
      </c>
      <c r="C138" s="36">
        <v>2009</v>
      </c>
      <c r="D138" s="35" t="s">
        <v>2489</v>
      </c>
      <c r="E138" s="36" t="s">
        <v>1277</v>
      </c>
      <c r="F138" s="36" t="s">
        <v>1276</v>
      </c>
      <c r="G138" s="36" t="s">
        <v>481</v>
      </c>
      <c r="H138" s="35" t="s">
        <v>2720</v>
      </c>
      <c r="I138" s="35" t="s">
        <v>2719</v>
      </c>
      <c r="J138" s="32" t="s">
        <v>479</v>
      </c>
    </row>
    <row r="139" spans="1:10" ht="15.75" customHeight="1" x14ac:dyDescent="0.3">
      <c r="A139" s="34" t="s">
        <v>2718</v>
      </c>
      <c r="B139" s="33" t="s">
        <v>2717</v>
      </c>
      <c r="C139" s="34">
        <v>2005</v>
      </c>
      <c r="D139" s="33" t="s">
        <v>2716</v>
      </c>
      <c r="E139" s="34" t="s">
        <v>1277</v>
      </c>
      <c r="F139" s="34" t="s">
        <v>1276</v>
      </c>
      <c r="G139" s="34" t="s">
        <v>481</v>
      </c>
      <c r="H139" s="33"/>
      <c r="I139" s="33" t="s">
        <v>2715</v>
      </c>
      <c r="J139" s="32" t="s">
        <v>479</v>
      </c>
    </row>
    <row r="140" spans="1:10" ht="15.75" customHeight="1" x14ac:dyDescent="0.3">
      <c r="A140" s="36" t="s">
        <v>156</v>
      </c>
      <c r="B140" s="35" t="s">
        <v>2714</v>
      </c>
      <c r="C140" s="36">
        <v>2023</v>
      </c>
      <c r="D140" s="35" t="s">
        <v>1513</v>
      </c>
      <c r="E140" s="36" t="s">
        <v>483</v>
      </c>
      <c r="F140" s="36" t="s">
        <v>1276</v>
      </c>
      <c r="G140" s="36" t="s">
        <v>481</v>
      </c>
      <c r="H140" s="35" t="s">
        <v>2713</v>
      </c>
      <c r="I140" s="35" t="s">
        <v>2712</v>
      </c>
      <c r="J140" s="32" t="s">
        <v>479</v>
      </c>
    </row>
    <row r="141" spans="1:10" ht="15.75" customHeight="1" x14ac:dyDescent="0.3">
      <c r="A141" s="34" t="s">
        <v>160</v>
      </c>
      <c r="B141" s="33" t="s">
        <v>914</v>
      </c>
      <c r="C141" s="34">
        <v>2025</v>
      </c>
      <c r="D141" s="33" t="s">
        <v>1561</v>
      </c>
      <c r="E141" s="34" t="s">
        <v>483</v>
      </c>
      <c r="F141" s="34" t="s">
        <v>1276</v>
      </c>
      <c r="G141" s="34" t="s">
        <v>481</v>
      </c>
      <c r="H141" s="33" t="s">
        <v>913</v>
      </c>
      <c r="I141" s="33" t="s">
        <v>2711</v>
      </c>
      <c r="J141" s="32" t="s">
        <v>479</v>
      </c>
    </row>
    <row r="142" spans="1:10" ht="15.75" customHeight="1" x14ac:dyDescent="0.3">
      <c r="A142" s="36" t="s">
        <v>166</v>
      </c>
      <c r="B142" s="35" t="s">
        <v>2710</v>
      </c>
      <c r="C142" s="36">
        <v>2018</v>
      </c>
      <c r="D142" s="35" t="s">
        <v>2709</v>
      </c>
      <c r="E142" s="36" t="s">
        <v>483</v>
      </c>
      <c r="F142" s="36" t="s">
        <v>1276</v>
      </c>
      <c r="G142" s="36" t="s">
        <v>481</v>
      </c>
      <c r="H142" s="35"/>
      <c r="I142" s="35" t="s">
        <v>2708</v>
      </c>
      <c r="J142" s="32" t="s">
        <v>479</v>
      </c>
    </row>
    <row r="143" spans="1:10" ht="15.75" customHeight="1" x14ac:dyDescent="0.3">
      <c r="A143" s="34" t="s">
        <v>2707</v>
      </c>
      <c r="B143" s="33" t="s">
        <v>2706</v>
      </c>
      <c r="C143" s="34">
        <v>2019</v>
      </c>
      <c r="D143" s="33" t="s">
        <v>2517</v>
      </c>
      <c r="E143" s="34" t="s">
        <v>483</v>
      </c>
      <c r="F143" s="34" t="s">
        <v>1276</v>
      </c>
      <c r="G143" s="34" t="s">
        <v>481</v>
      </c>
      <c r="H143" s="33" t="s">
        <v>2705</v>
      </c>
      <c r="I143" s="33" t="s">
        <v>2704</v>
      </c>
      <c r="J143" s="32" t="s">
        <v>479</v>
      </c>
    </row>
    <row r="144" spans="1:10" ht="15.75" customHeight="1" x14ac:dyDescent="0.3">
      <c r="A144" s="36" t="s">
        <v>2703</v>
      </c>
      <c r="B144" s="35" t="s">
        <v>2154</v>
      </c>
      <c r="C144" s="36">
        <v>2011</v>
      </c>
      <c r="D144" s="35" t="s">
        <v>2033</v>
      </c>
      <c r="E144" s="36" t="s">
        <v>1277</v>
      </c>
      <c r="F144" s="36" t="s">
        <v>1276</v>
      </c>
      <c r="G144" s="36" t="s">
        <v>481</v>
      </c>
      <c r="H144" s="35"/>
      <c r="I144" s="35" t="s">
        <v>2702</v>
      </c>
      <c r="J144" s="32" t="s">
        <v>479</v>
      </c>
    </row>
    <row r="145" spans="1:10" ht="15.75" customHeight="1" x14ac:dyDescent="0.3">
      <c r="A145" s="34" t="s">
        <v>2701</v>
      </c>
      <c r="B145" s="33" t="s">
        <v>2700</v>
      </c>
      <c r="C145" s="34">
        <v>2010</v>
      </c>
      <c r="D145" s="33" t="s">
        <v>2132</v>
      </c>
      <c r="E145" s="34" t="s">
        <v>1277</v>
      </c>
      <c r="F145" s="34" t="s">
        <v>1276</v>
      </c>
      <c r="G145" s="34" t="s">
        <v>481</v>
      </c>
      <c r="H145" s="33" t="s">
        <v>2699</v>
      </c>
      <c r="I145" s="33" t="s">
        <v>2698</v>
      </c>
      <c r="J145" s="32" t="s">
        <v>479</v>
      </c>
    </row>
    <row r="146" spans="1:10" ht="15.75" customHeight="1" x14ac:dyDescent="0.3">
      <c r="A146" s="36" t="s">
        <v>2697</v>
      </c>
      <c r="B146" s="35" t="s">
        <v>2696</v>
      </c>
      <c r="C146" s="36">
        <v>2012</v>
      </c>
      <c r="D146" s="35" t="s">
        <v>1587</v>
      </c>
      <c r="E146" s="36" t="s">
        <v>1277</v>
      </c>
      <c r="F146" s="36" t="s">
        <v>1276</v>
      </c>
      <c r="G146" s="36" t="s">
        <v>481</v>
      </c>
      <c r="H146" s="35" t="s">
        <v>2695</v>
      </c>
      <c r="I146" s="35" t="s">
        <v>2694</v>
      </c>
      <c r="J146" s="32" t="s">
        <v>479</v>
      </c>
    </row>
    <row r="147" spans="1:10" ht="15.75" customHeight="1" x14ac:dyDescent="0.3">
      <c r="A147" s="34" t="s">
        <v>2693</v>
      </c>
      <c r="B147" s="33" t="s">
        <v>2692</v>
      </c>
      <c r="C147" s="34">
        <v>2008</v>
      </c>
      <c r="D147" s="33" t="s">
        <v>1521</v>
      </c>
      <c r="E147" s="34" t="s">
        <v>1277</v>
      </c>
      <c r="F147" s="34" t="s">
        <v>1276</v>
      </c>
      <c r="G147" s="34" t="s">
        <v>481</v>
      </c>
      <c r="H147" s="33" t="s">
        <v>2691</v>
      </c>
      <c r="I147" s="33" t="s">
        <v>2690</v>
      </c>
      <c r="J147" s="32" t="s">
        <v>479</v>
      </c>
    </row>
    <row r="148" spans="1:10" ht="15.75" customHeight="1" x14ac:dyDescent="0.3">
      <c r="A148" s="36" t="s">
        <v>2689</v>
      </c>
      <c r="B148" s="35" t="s">
        <v>2688</v>
      </c>
      <c r="C148" s="36">
        <v>2024</v>
      </c>
      <c r="D148" s="35" t="s">
        <v>2687</v>
      </c>
      <c r="E148" s="36" t="s">
        <v>483</v>
      </c>
      <c r="F148" s="36" t="s">
        <v>1276</v>
      </c>
      <c r="G148" s="36" t="s">
        <v>481</v>
      </c>
      <c r="H148" s="35" t="s">
        <v>487</v>
      </c>
      <c r="I148" s="35" t="s">
        <v>2686</v>
      </c>
      <c r="J148" s="32" t="s">
        <v>479</v>
      </c>
    </row>
    <row r="149" spans="1:10" ht="15.75" customHeight="1" x14ac:dyDescent="0.3">
      <c r="A149" s="34" t="s">
        <v>2685</v>
      </c>
      <c r="B149" s="33" t="s">
        <v>642</v>
      </c>
      <c r="C149" s="34">
        <v>2024</v>
      </c>
      <c r="D149" s="33" t="s">
        <v>1965</v>
      </c>
      <c r="E149" s="34" t="s">
        <v>483</v>
      </c>
      <c r="F149" s="34" t="s">
        <v>1276</v>
      </c>
      <c r="G149" s="34" t="s">
        <v>481</v>
      </c>
      <c r="H149" s="33" t="s">
        <v>640</v>
      </c>
      <c r="I149" s="33" t="s">
        <v>2684</v>
      </c>
      <c r="J149" s="32" t="s">
        <v>479</v>
      </c>
    </row>
    <row r="150" spans="1:10" ht="15.75" customHeight="1" x14ac:dyDescent="0.3">
      <c r="A150" s="36" t="s">
        <v>171</v>
      </c>
      <c r="B150" s="35" t="s">
        <v>1264</v>
      </c>
      <c r="C150" s="36">
        <v>2016</v>
      </c>
      <c r="D150" s="35" t="s">
        <v>1438</v>
      </c>
      <c r="E150" s="36" t="s">
        <v>483</v>
      </c>
      <c r="F150" s="36" t="s">
        <v>1276</v>
      </c>
      <c r="G150" s="36" t="s">
        <v>481</v>
      </c>
      <c r="H150" s="35" t="s">
        <v>1263</v>
      </c>
      <c r="I150" s="35" t="s">
        <v>2683</v>
      </c>
      <c r="J150" s="32" t="s">
        <v>479</v>
      </c>
    </row>
    <row r="151" spans="1:10" ht="15.75" customHeight="1" x14ac:dyDescent="0.3">
      <c r="A151" s="34" t="s">
        <v>2682</v>
      </c>
      <c r="B151" s="33" t="s">
        <v>2681</v>
      </c>
      <c r="C151" s="34">
        <v>2011</v>
      </c>
      <c r="D151" s="33" t="s">
        <v>2517</v>
      </c>
      <c r="E151" s="34" t="s">
        <v>483</v>
      </c>
      <c r="F151" s="34" t="s">
        <v>1276</v>
      </c>
      <c r="G151" s="34" t="s">
        <v>481</v>
      </c>
      <c r="H151" s="33" t="s">
        <v>2680</v>
      </c>
      <c r="I151" s="33" t="s">
        <v>2679</v>
      </c>
      <c r="J151" s="32" t="s">
        <v>479</v>
      </c>
    </row>
    <row r="152" spans="1:10" ht="15.75" customHeight="1" x14ac:dyDescent="0.3">
      <c r="A152" s="36" t="s">
        <v>2678</v>
      </c>
      <c r="B152" s="35" t="s">
        <v>2677</v>
      </c>
      <c r="C152" s="36">
        <v>2023</v>
      </c>
      <c r="D152" s="35" t="s">
        <v>1426</v>
      </c>
      <c r="E152" s="36" t="s">
        <v>483</v>
      </c>
      <c r="F152" s="36" t="s">
        <v>1276</v>
      </c>
      <c r="G152" s="36" t="s">
        <v>481</v>
      </c>
      <c r="H152" s="35" t="s">
        <v>2676</v>
      </c>
      <c r="I152" s="35" t="s">
        <v>2675</v>
      </c>
      <c r="J152" s="32" t="s">
        <v>479</v>
      </c>
    </row>
    <row r="153" spans="1:10" ht="15.75" customHeight="1" x14ac:dyDescent="0.3">
      <c r="A153" s="34" t="s">
        <v>2674</v>
      </c>
      <c r="B153" s="33" t="s">
        <v>2673</v>
      </c>
      <c r="C153" s="34">
        <v>2020</v>
      </c>
      <c r="D153" s="33" t="s">
        <v>1343</v>
      </c>
      <c r="E153" s="34" t="s">
        <v>1277</v>
      </c>
      <c r="F153" s="34" t="s">
        <v>1276</v>
      </c>
      <c r="G153" s="34" t="s">
        <v>481</v>
      </c>
      <c r="H153" s="33" t="s">
        <v>1137</v>
      </c>
      <c r="I153" s="33" t="s">
        <v>2672</v>
      </c>
      <c r="J153" s="32" t="s">
        <v>479</v>
      </c>
    </row>
    <row r="154" spans="1:10" ht="15.75" customHeight="1" x14ac:dyDescent="0.3">
      <c r="A154" s="36" t="s">
        <v>2671</v>
      </c>
      <c r="B154" s="35" t="s">
        <v>2670</v>
      </c>
      <c r="C154" s="36">
        <v>2004</v>
      </c>
      <c r="D154" s="35" t="s">
        <v>1783</v>
      </c>
      <c r="E154" s="36" t="s">
        <v>1277</v>
      </c>
      <c r="F154" s="36" t="s">
        <v>1276</v>
      </c>
      <c r="G154" s="36" t="s">
        <v>481</v>
      </c>
      <c r="H154" s="35" t="s">
        <v>2669</v>
      </c>
      <c r="I154" s="35" t="s">
        <v>2668</v>
      </c>
      <c r="J154" s="32" t="s">
        <v>479</v>
      </c>
    </row>
    <row r="155" spans="1:10" ht="15.75" customHeight="1" x14ac:dyDescent="0.3">
      <c r="A155" s="34" t="s">
        <v>2667</v>
      </c>
      <c r="B155" s="33" t="s">
        <v>1731</v>
      </c>
      <c r="C155" s="34">
        <v>2013</v>
      </c>
      <c r="D155" s="33" t="s">
        <v>1730</v>
      </c>
      <c r="E155" s="34" t="s">
        <v>1416</v>
      </c>
      <c r="F155" s="34" t="s">
        <v>1276</v>
      </c>
      <c r="G155" s="34" t="s">
        <v>481</v>
      </c>
      <c r="H155" s="33"/>
      <c r="I155" s="33" t="s">
        <v>2666</v>
      </c>
      <c r="J155" s="32" t="s">
        <v>479</v>
      </c>
    </row>
    <row r="156" spans="1:10" ht="15.75" customHeight="1" x14ac:dyDescent="0.3">
      <c r="A156" s="36" t="s">
        <v>2665</v>
      </c>
      <c r="B156" s="35" t="s">
        <v>2664</v>
      </c>
      <c r="C156" s="36">
        <v>2024</v>
      </c>
      <c r="D156" s="35" t="s">
        <v>2663</v>
      </c>
      <c r="E156" s="36" t="s">
        <v>1277</v>
      </c>
      <c r="F156" s="36" t="s">
        <v>1276</v>
      </c>
      <c r="G156" s="36" t="s">
        <v>481</v>
      </c>
      <c r="H156" s="35"/>
      <c r="I156" s="35" t="s">
        <v>2662</v>
      </c>
      <c r="J156" s="32" t="s">
        <v>479</v>
      </c>
    </row>
    <row r="157" spans="1:10" ht="15.75" customHeight="1" x14ac:dyDescent="0.3">
      <c r="A157" s="34" t="s">
        <v>2661</v>
      </c>
      <c r="B157" s="33" t="s">
        <v>2660</v>
      </c>
      <c r="C157" s="34">
        <v>2019</v>
      </c>
      <c r="D157" s="33" t="s">
        <v>2659</v>
      </c>
      <c r="E157" s="34" t="s">
        <v>1277</v>
      </c>
      <c r="F157" s="34" t="s">
        <v>1276</v>
      </c>
      <c r="G157" s="34" t="s">
        <v>481</v>
      </c>
      <c r="H157" s="33"/>
      <c r="I157" s="33" t="s">
        <v>2658</v>
      </c>
      <c r="J157" s="32" t="s">
        <v>479</v>
      </c>
    </row>
    <row r="158" spans="1:10" ht="15.75" customHeight="1" x14ac:dyDescent="0.3">
      <c r="A158" s="36" t="s">
        <v>2657</v>
      </c>
      <c r="B158" s="35" t="s">
        <v>2656</v>
      </c>
      <c r="C158" s="36">
        <v>2017</v>
      </c>
      <c r="D158" s="35" t="s">
        <v>1358</v>
      </c>
      <c r="E158" s="36" t="s">
        <v>483</v>
      </c>
      <c r="F158" s="36" t="s">
        <v>1276</v>
      </c>
      <c r="G158" s="36" t="s">
        <v>1357</v>
      </c>
      <c r="H158" s="35" t="s">
        <v>2655</v>
      </c>
      <c r="I158" s="35" t="s">
        <v>2654</v>
      </c>
      <c r="J158" s="32" t="s">
        <v>479</v>
      </c>
    </row>
    <row r="159" spans="1:10" ht="15.75" customHeight="1" x14ac:dyDescent="0.3">
      <c r="A159" s="34" t="s">
        <v>2653</v>
      </c>
      <c r="B159" s="33" t="s">
        <v>2652</v>
      </c>
      <c r="C159" s="34">
        <v>2014</v>
      </c>
      <c r="D159" s="33" t="s">
        <v>1358</v>
      </c>
      <c r="E159" s="34" t="s">
        <v>483</v>
      </c>
      <c r="F159" s="34" t="s">
        <v>1276</v>
      </c>
      <c r="G159" s="34" t="s">
        <v>1357</v>
      </c>
      <c r="H159" s="33"/>
      <c r="I159" s="33" t="s">
        <v>2651</v>
      </c>
      <c r="J159" s="32" t="s">
        <v>479</v>
      </c>
    </row>
    <row r="160" spans="1:10" ht="15.75" customHeight="1" x14ac:dyDescent="0.3">
      <c r="A160" s="36" t="s">
        <v>2650</v>
      </c>
      <c r="B160" s="35" t="s">
        <v>929</v>
      </c>
      <c r="C160" s="36">
        <v>2015</v>
      </c>
      <c r="D160" s="35" t="s">
        <v>2649</v>
      </c>
      <c r="E160" s="36" t="s">
        <v>483</v>
      </c>
      <c r="F160" s="36" t="s">
        <v>1276</v>
      </c>
      <c r="G160" s="36" t="s">
        <v>481</v>
      </c>
      <c r="H160" s="35" t="s">
        <v>927</v>
      </c>
      <c r="I160" s="35" t="s">
        <v>2648</v>
      </c>
      <c r="J160" s="32" t="s">
        <v>479</v>
      </c>
    </row>
    <row r="161" spans="1:10" ht="15.75" customHeight="1" x14ac:dyDescent="0.3">
      <c r="A161" s="34" t="s">
        <v>2647</v>
      </c>
      <c r="B161" s="33" t="s">
        <v>2646</v>
      </c>
      <c r="C161" s="34">
        <v>2011</v>
      </c>
      <c r="D161" s="33" t="s">
        <v>1334</v>
      </c>
      <c r="E161" s="34" t="s">
        <v>483</v>
      </c>
      <c r="F161" s="34" t="s">
        <v>1276</v>
      </c>
      <c r="G161" s="34" t="s">
        <v>481</v>
      </c>
      <c r="H161" s="33"/>
      <c r="I161" s="33" t="s">
        <v>2645</v>
      </c>
      <c r="J161" s="32" t="s">
        <v>479</v>
      </c>
    </row>
    <row r="162" spans="1:10" ht="15.75" customHeight="1" x14ac:dyDescent="0.3">
      <c r="A162" s="36" t="s">
        <v>295</v>
      </c>
      <c r="B162" s="35" t="s">
        <v>494</v>
      </c>
      <c r="C162" s="36">
        <v>2025</v>
      </c>
      <c r="D162" s="35" t="s">
        <v>1904</v>
      </c>
      <c r="E162" s="36" t="s">
        <v>483</v>
      </c>
      <c r="F162" s="36" t="s">
        <v>1276</v>
      </c>
      <c r="G162" s="36" t="s">
        <v>481</v>
      </c>
      <c r="H162" s="35" t="s">
        <v>492</v>
      </c>
      <c r="I162" s="35" t="s">
        <v>2644</v>
      </c>
      <c r="J162" s="32" t="s">
        <v>479</v>
      </c>
    </row>
    <row r="163" spans="1:10" ht="15.75" customHeight="1" x14ac:dyDescent="0.3">
      <c r="A163" s="34" t="s">
        <v>2643</v>
      </c>
      <c r="B163" s="33" t="s">
        <v>2642</v>
      </c>
      <c r="C163" s="34">
        <v>2009</v>
      </c>
      <c r="D163" s="33" t="s">
        <v>2641</v>
      </c>
      <c r="E163" s="34" t="s">
        <v>483</v>
      </c>
      <c r="F163" s="34" t="s">
        <v>1276</v>
      </c>
      <c r="G163" s="34" t="s">
        <v>481</v>
      </c>
      <c r="H163" s="33" t="s">
        <v>2640</v>
      </c>
      <c r="I163" s="33" t="s">
        <v>2639</v>
      </c>
      <c r="J163" s="32" t="s">
        <v>479</v>
      </c>
    </row>
    <row r="164" spans="1:10" ht="15.75" customHeight="1" x14ac:dyDescent="0.3">
      <c r="A164" s="36" t="s">
        <v>2638</v>
      </c>
      <c r="B164" s="35" t="s">
        <v>2637</v>
      </c>
      <c r="C164" s="36">
        <v>2008</v>
      </c>
      <c r="D164" s="35" t="s">
        <v>2636</v>
      </c>
      <c r="E164" s="36" t="s">
        <v>1277</v>
      </c>
      <c r="F164" s="36" t="s">
        <v>1276</v>
      </c>
      <c r="G164" s="36" t="s">
        <v>481</v>
      </c>
      <c r="H164" s="35"/>
      <c r="I164" s="35" t="s">
        <v>1089</v>
      </c>
      <c r="J164" s="32" t="s">
        <v>479</v>
      </c>
    </row>
    <row r="165" spans="1:10" ht="15.75" customHeight="1" x14ac:dyDescent="0.3">
      <c r="A165" s="34" t="s">
        <v>2635</v>
      </c>
      <c r="B165" s="33" t="s">
        <v>2634</v>
      </c>
      <c r="C165" s="34">
        <v>2016</v>
      </c>
      <c r="D165" s="33" t="s">
        <v>2633</v>
      </c>
      <c r="E165" s="34" t="s">
        <v>483</v>
      </c>
      <c r="F165" s="34" t="s">
        <v>1276</v>
      </c>
      <c r="G165" s="34" t="s">
        <v>1357</v>
      </c>
      <c r="H165" s="33" t="s">
        <v>2632</v>
      </c>
      <c r="I165" s="33" t="s">
        <v>2631</v>
      </c>
      <c r="J165" s="32" t="s">
        <v>479</v>
      </c>
    </row>
    <row r="166" spans="1:10" ht="15.75" customHeight="1" x14ac:dyDescent="0.3">
      <c r="A166" s="36" t="s">
        <v>2630</v>
      </c>
      <c r="B166" s="35" t="s">
        <v>2629</v>
      </c>
      <c r="C166" s="36">
        <v>2006</v>
      </c>
      <c r="D166" s="35" t="s">
        <v>1358</v>
      </c>
      <c r="E166" s="36" t="s">
        <v>483</v>
      </c>
      <c r="F166" s="36" t="s">
        <v>1276</v>
      </c>
      <c r="G166" s="36" t="s">
        <v>1357</v>
      </c>
      <c r="H166" s="35"/>
      <c r="I166" s="35" t="s">
        <v>2628</v>
      </c>
      <c r="J166" s="32" t="s">
        <v>479</v>
      </c>
    </row>
    <row r="167" spans="1:10" ht="15.75" customHeight="1" x14ac:dyDescent="0.3">
      <c r="A167" s="34" t="s">
        <v>301</v>
      </c>
      <c r="B167" s="33" t="s">
        <v>1180</v>
      </c>
      <c r="C167" s="34">
        <v>2015</v>
      </c>
      <c r="D167" s="33" t="s">
        <v>1438</v>
      </c>
      <c r="E167" s="34" t="s">
        <v>483</v>
      </c>
      <c r="F167" s="34" t="s">
        <v>1276</v>
      </c>
      <c r="G167" s="34" t="s">
        <v>481</v>
      </c>
      <c r="H167" s="33" t="s">
        <v>1179</v>
      </c>
      <c r="I167" s="33" t="s">
        <v>2627</v>
      </c>
      <c r="J167" s="32" t="s">
        <v>479</v>
      </c>
    </row>
    <row r="168" spans="1:10" ht="15.75" customHeight="1" x14ac:dyDescent="0.3">
      <c r="A168" s="36" t="s">
        <v>2626</v>
      </c>
      <c r="B168" s="35" t="s">
        <v>2625</v>
      </c>
      <c r="C168" s="36">
        <v>2011</v>
      </c>
      <c r="D168" s="35" t="s">
        <v>2624</v>
      </c>
      <c r="E168" s="36" t="s">
        <v>483</v>
      </c>
      <c r="F168" s="36" t="s">
        <v>1276</v>
      </c>
      <c r="G168" s="36" t="s">
        <v>481</v>
      </c>
      <c r="H168" s="35" t="s">
        <v>2623</v>
      </c>
      <c r="I168" s="35" t="s">
        <v>2622</v>
      </c>
      <c r="J168" s="32" t="s">
        <v>479</v>
      </c>
    </row>
    <row r="169" spans="1:10" ht="15.75" customHeight="1" x14ac:dyDescent="0.3">
      <c r="A169" s="34" t="s">
        <v>307</v>
      </c>
      <c r="B169" s="33" t="s">
        <v>2621</v>
      </c>
      <c r="C169" s="34">
        <v>2024</v>
      </c>
      <c r="D169" s="33" t="s">
        <v>2620</v>
      </c>
      <c r="E169" s="34" t="s">
        <v>483</v>
      </c>
      <c r="F169" s="34" t="s">
        <v>1276</v>
      </c>
      <c r="G169" s="34" t="s">
        <v>481</v>
      </c>
      <c r="H169" s="33" t="s">
        <v>2619</v>
      </c>
      <c r="I169" s="33" t="s">
        <v>2618</v>
      </c>
      <c r="J169" s="32" t="s">
        <v>479</v>
      </c>
    </row>
    <row r="170" spans="1:10" ht="15.75" customHeight="1" x14ac:dyDescent="0.3">
      <c r="A170" s="36" t="s">
        <v>2617</v>
      </c>
      <c r="B170" s="35" t="s">
        <v>2616</v>
      </c>
      <c r="C170" s="36">
        <v>2018</v>
      </c>
      <c r="D170" s="35" t="s">
        <v>1343</v>
      </c>
      <c r="E170" s="36" t="s">
        <v>1277</v>
      </c>
      <c r="F170" s="36" t="s">
        <v>1276</v>
      </c>
      <c r="G170" s="36" t="s">
        <v>481</v>
      </c>
      <c r="H170" s="35" t="s">
        <v>2615</v>
      </c>
      <c r="I170" s="35" t="s">
        <v>2614</v>
      </c>
      <c r="J170" s="32" t="s">
        <v>479</v>
      </c>
    </row>
    <row r="171" spans="1:10" ht="15.75" customHeight="1" x14ac:dyDescent="0.3">
      <c r="A171" s="34" t="s">
        <v>2613</v>
      </c>
      <c r="B171" s="33" t="s">
        <v>2612</v>
      </c>
      <c r="C171" s="34">
        <v>2020</v>
      </c>
      <c r="D171" s="33" t="s">
        <v>2611</v>
      </c>
      <c r="E171" s="34" t="s">
        <v>1416</v>
      </c>
      <c r="F171" s="34" t="s">
        <v>1276</v>
      </c>
      <c r="G171" s="34" t="s">
        <v>481</v>
      </c>
      <c r="H171" s="33" t="s">
        <v>2610</v>
      </c>
      <c r="I171" s="33" t="s">
        <v>2609</v>
      </c>
      <c r="J171" s="32" t="s">
        <v>479</v>
      </c>
    </row>
    <row r="172" spans="1:10" ht="15.75" customHeight="1" x14ac:dyDescent="0.3">
      <c r="A172" s="36" t="s">
        <v>2608</v>
      </c>
      <c r="B172" s="35" t="s">
        <v>2607</v>
      </c>
      <c r="C172" s="36">
        <v>2017</v>
      </c>
      <c r="D172" s="35" t="s">
        <v>1542</v>
      </c>
      <c r="E172" s="36" t="s">
        <v>483</v>
      </c>
      <c r="F172" s="36" t="s">
        <v>1276</v>
      </c>
      <c r="G172" s="36" t="s">
        <v>481</v>
      </c>
      <c r="H172" s="35" t="s">
        <v>2606</v>
      </c>
      <c r="I172" s="35" t="s">
        <v>2605</v>
      </c>
      <c r="J172" s="32" t="s">
        <v>479</v>
      </c>
    </row>
    <row r="173" spans="1:10" ht="15.75" customHeight="1" x14ac:dyDescent="0.3">
      <c r="A173" s="34" t="s">
        <v>2604</v>
      </c>
      <c r="B173" s="33" t="s">
        <v>2603</v>
      </c>
      <c r="C173" s="34">
        <v>2015</v>
      </c>
      <c r="D173" s="33" t="s">
        <v>1358</v>
      </c>
      <c r="E173" s="34" t="s">
        <v>483</v>
      </c>
      <c r="F173" s="34" t="s">
        <v>1276</v>
      </c>
      <c r="G173" s="34" t="s">
        <v>1357</v>
      </c>
      <c r="H173" s="33"/>
      <c r="I173" s="33" t="s">
        <v>2602</v>
      </c>
      <c r="J173" s="32" t="s">
        <v>479</v>
      </c>
    </row>
    <row r="174" spans="1:10" ht="15.75" customHeight="1" x14ac:dyDescent="0.3">
      <c r="A174" s="36" t="s">
        <v>2601</v>
      </c>
      <c r="B174" s="35" t="s">
        <v>2600</v>
      </c>
      <c r="C174" s="36">
        <v>2007</v>
      </c>
      <c r="D174" s="35" t="s">
        <v>1343</v>
      </c>
      <c r="E174" s="36" t="s">
        <v>1277</v>
      </c>
      <c r="F174" s="36" t="s">
        <v>1276</v>
      </c>
      <c r="G174" s="36" t="s">
        <v>481</v>
      </c>
      <c r="H174" s="35" t="s">
        <v>2599</v>
      </c>
      <c r="I174" s="35" t="s">
        <v>2598</v>
      </c>
      <c r="J174" s="32" t="s">
        <v>479</v>
      </c>
    </row>
    <row r="175" spans="1:10" ht="15.75" customHeight="1" x14ac:dyDescent="0.3">
      <c r="A175" s="34" t="s">
        <v>2597</v>
      </c>
      <c r="B175" s="33" t="s">
        <v>2596</v>
      </c>
      <c r="C175" s="34">
        <v>2000</v>
      </c>
      <c r="D175" s="33" t="s">
        <v>2288</v>
      </c>
      <c r="E175" s="34" t="s">
        <v>483</v>
      </c>
      <c r="F175" s="34" t="s">
        <v>1276</v>
      </c>
      <c r="G175" s="34" t="s">
        <v>481</v>
      </c>
      <c r="H175" s="33"/>
      <c r="I175" s="33" t="s">
        <v>2595</v>
      </c>
      <c r="J175" s="32" t="s">
        <v>479</v>
      </c>
    </row>
    <row r="176" spans="1:10" ht="15.75" customHeight="1" x14ac:dyDescent="0.3">
      <c r="A176" s="36" t="s">
        <v>2594</v>
      </c>
      <c r="B176" s="35" t="s">
        <v>2593</v>
      </c>
      <c r="C176" s="36">
        <v>2013</v>
      </c>
      <c r="D176" s="35" t="s">
        <v>1516</v>
      </c>
      <c r="E176" s="36" t="s">
        <v>483</v>
      </c>
      <c r="F176" s="36" t="s">
        <v>1276</v>
      </c>
      <c r="G176" s="36" t="s">
        <v>481</v>
      </c>
      <c r="H176" s="35" t="s">
        <v>2592</v>
      </c>
      <c r="I176" s="35" t="s">
        <v>2591</v>
      </c>
      <c r="J176" s="32" t="s">
        <v>479</v>
      </c>
    </row>
    <row r="177" spans="1:10" ht="15.75" customHeight="1" x14ac:dyDescent="0.3">
      <c r="A177" s="34" t="s">
        <v>2590</v>
      </c>
      <c r="B177" s="33" t="s">
        <v>1122</v>
      </c>
      <c r="C177" s="34">
        <v>2018</v>
      </c>
      <c r="D177" s="33" t="s">
        <v>2589</v>
      </c>
      <c r="E177" s="34" t="s">
        <v>1277</v>
      </c>
      <c r="F177" s="34" t="s">
        <v>1276</v>
      </c>
      <c r="G177" s="34" t="s">
        <v>481</v>
      </c>
      <c r="H177" s="33" t="s">
        <v>2588</v>
      </c>
      <c r="I177" s="33" t="s">
        <v>2587</v>
      </c>
      <c r="J177" s="32" t="s">
        <v>479</v>
      </c>
    </row>
    <row r="178" spans="1:10" ht="15.75" customHeight="1" x14ac:dyDescent="0.3">
      <c r="A178" s="36" t="s">
        <v>2586</v>
      </c>
      <c r="B178" s="35" t="s">
        <v>2585</v>
      </c>
      <c r="C178" s="36">
        <v>2008</v>
      </c>
      <c r="D178" s="35" t="s">
        <v>2584</v>
      </c>
      <c r="E178" s="36" t="s">
        <v>1277</v>
      </c>
      <c r="F178" s="36" t="s">
        <v>1276</v>
      </c>
      <c r="G178" s="36" t="s">
        <v>481</v>
      </c>
      <c r="H178" s="35" t="s">
        <v>2583</v>
      </c>
      <c r="I178" s="35" t="s">
        <v>2582</v>
      </c>
      <c r="J178" s="32" t="s">
        <v>479</v>
      </c>
    </row>
    <row r="179" spans="1:10" ht="15.75" customHeight="1" x14ac:dyDescent="0.3">
      <c r="A179" s="34" t="s">
        <v>174</v>
      </c>
      <c r="B179" s="33" t="s">
        <v>2581</v>
      </c>
      <c r="C179" s="34">
        <v>2021</v>
      </c>
      <c r="D179" s="33" t="s">
        <v>2580</v>
      </c>
      <c r="E179" s="34" t="s">
        <v>483</v>
      </c>
      <c r="F179" s="34" t="s">
        <v>1276</v>
      </c>
      <c r="G179" s="34" t="s">
        <v>481</v>
      </c>
      <c r="H179" s="33" t="s">
        <v>2579</v>
      </c>
      <c r="I179" s="33" t="s">
        <v>2578</v>
      </c>
      <c r="J179" s="32" t="s">
        <v>479</v>
      </c>
    </row>
    <row r="180" spans="1:10" ht="15.75" customHeight="1" x14ac:dyDescent="0.3">
      <c r="A180" s="36" t="s">
        <v>2577</v>
      </c>
      <c r="B180" s="35" t="s">
        <v>2576</v>
      </c>
      <c r="C180" s="36">
        <v>2019</v>
      </c>
      <c r="D180" s="35" t="s">
        <v>2189</v>
      </c>
      <c r="E180" s="36" t="s">
        <v>1277</v>
      </c>
      <c r="F180" s="36" t="s">
        <v>1276</v>
      </c>
      <c r="G180" s="36" t="s">
        <v>481</v>
      </c>
      <c r="H180" s="35" t="s">
        <v>2575</v>
      </c>
      <c r="I180" s="35" t="s">
        <v>2574</v>
      </c>
      <c r="J180" s="32" t="s">
        <v>479</v>
      </c>
    </row>
    <row r="181" spans="1:10" ht="15.75" customHeight="1" x14ac:dyDescent="0.3">
      <c r="A181" s="34" t="s">
        <v>2573</v>
      </c>
      <c r="B181" s="33" t="s">
        <v>2572</v>
      </c>
      <c r="C181" s="34">
        <v>2023</v>
      </c>
      <c r="D181" s="33" t="s">
        <v>2571</v>
      </c>
      <c r="E181" s="34" t="s">
        <v>1277</v>
      </c>
      <c r="F181" s="34" t="s">
        <v>1276</v>
      </c>
      <c r="G181" s="34" t="s">
        <v>481</v>
      </c>
      <c r="H181" s="33" t="s">
        <v>2570</v>
      </c>
      <c r="I181" s="33" t="s">
        <v>2569</v>
      </c>
      <c r="J181" s="32" t="s">
        <v>479</v>
      </c>
    </row>
    <row r="182" spans="1:10" ht="15.75" customHeight="1" x14ac:dyDescent="0.3">
      <c r="A182" s="36" t="s">
        <v>2568</v>
      </c>
      <c r="B182" s="35" t="s">
        <v>2567</v>
      </c>
      <c r="C182" s="36">
        <v>2016</v>
      </c>
      <c r="D182" s="35" t="s">
        <v>1343</v>
      </c>
      <c r="E182" s="36" t="s">
        <v>1277</v>
      </c>
      <c r="F182" s="36" t="s">
        <v>1276</v>
      </c>
      <c r="G182" s="36" t="s">
        <v>481</v>
      </c>
      <c r="H182" s="35" t="s">
        <v>2566</v>
      </c>
      <c r="I182" s="35" t="s">
        <v>2565</v>
      </c>
      <c r="J182" s="32" t="s">
        <v>479</v>
      </c>
    </row>
    <row r="183" spans="1:10" ht="15.75" customHeight="1" x14ac:dyDescent="0.3">
      <c r="A183" s="34" t="s">
        <v>2564</v>
      </c>
      <c r="B183" s="33" t="s">
        <v>2563</v>
      </c>
      <c r="C183" s="34">
        <v>2025</v>
      </c>
      <c r="D183" s="33" t="s">
        <v>1343</v>
      </c>
      <c r="E183" s="34" t="s">
        <v>1277</v>
      </c>
      <c r="F183" s="34" t="s">
        <v>1276</v>
      </c>
      <c r="G183" s="34" t="s">
        <v>481</v>
      </c>
      <c r="H183" s="33" t="s">
        <v>2562</v>
      </c>
      <c r="I183" s="33" t="s">
        <v>2561</v>
      </c>
      <c r="J183" s="32" t="s">
        <v>479</v>
      </c>
    </row>
    <row r="184" spans="1:10" ht="15.75" customHeight="1" x14ac:dyDescent="0.3">
      <c r="A184" s="36" t="s">
        <v>2560</v>
      </c>
      <c r="B184" s="35" t="s">
        <v>2559</v>
      </c>
      <c r="C184" s="36">
        <v>2019</v>
      </c>
      <c r="D184" s="35" t="s">
        <v>2308</v>
      </c>
      <c r="E184" s="36" t="s">
        <v>1277</v>
      </c>
      <c r="F184" s="36" t="s">
        <v>1276</v>
      </c>
      <c r="G184" s="36" t="s">
        <v>481</v>
      </c>
      <c r="H184" s="35" t="s">
        <v>2558</v>
      </c>
      <c r="I184" s="35" t="s">
        <v>2557</v>
      </c>
      <c r="J184" s="32" t="s">
        <v>479</v>
      </c>
    </row>
    <row r="185" spans="1:10" ht="15.75" customHeight="1" x14ac:dyDescent="0.3">
      <c r="A185" s="34" t="s">
        <v>2556</v>
      </c>
      <c r="B185" s="33" t="s">
        <v>2555</v>
      </c>
      <c r="C185" s="34">
        <v>2011</v>
      </c>
      <c r="D185" s="33" t="s">
        <v>2344</v>
      </c>
      <c r="E185" s="34" t="s">
        <v>483</v>
      </c>
      <c r="F185" s="34" t="s">
        <v>1276</v>
      </c>
      <c r="G185" s="34" t="s">
        <v>481</v>
      </c>
      <c r="H185" s="33" t="s">
        <v>2554</v>
      </c>
      <c r="I185" s="33" t="s">
        <v>2553</v>
      </c>
      <c r="J185" s="32" t="s">
        <v>479</v>
      </c>
    </row>
    <row r="186" spans="1:10" ht="15.75" customHeight="1" x14ac:dyDescent="0.3">
      <c r="A186" s="36" t="s">
        <v>2552</v>
      </c>
      <c r="B186" s="35" t="s">
        <v>2551</v>
      </c>
      <c r="C186" s="36">
        <v>2008</v>
      </c>
      <c r="D186" s="35" t="s">
        <v>1374</v>
      </c>
      <c r="E186" s="36" t="s">
        <v>483</v>
      </c>
      <c r="F186" s="36" t="s">
        <v>1276</v>
      </c>
      <c r="G186" s="36" t="s">
        <v>481</v>
      </c>
      <c r="H186" s="35"/>
      <c r="I186" s="35" t="s">
        <v>2550</v>
      </c>
      <c r="J186" s="32" t="s">
        <v>479</v>
      </c>
    </row>
    <row r="187" spans="1:10" ht="15.75" customHeight="1" x14ac:dyDescent="0.3">
      <c r="A187" s="34" t="s">
        <v>2549</v>
      </c>
      <c r="B187" s="33" t="s">
        <v>2548</v>
      </c>
      <c r="C187" s="34">
        <v>2017</v>
      </c>
      <c r="D187" s="33" t="s">
        <v>1467</v>
      </c>
      <c r="E187" s="34" t="s">
        <v>1277</v>
      </c>
      <c r="F187" s="34" t="s">
        <v>1276</v>
      </c>
      <c r="G187" s="34" t="s">
        <v>481</v>
      </c>
      <c r="H187" s="33" t="s">
        <v>2547</v>
      </c>
      <c r="I187" s="33" t="s">
        <v>2546</v>
      </c>
      <c r="J187" s="32" t="s">
        <v>479</v>
      </c>
    </row>
    <row r="188" spans="1:10" ht="15.75" customHeight="1" x14ac:dyDescent="0.3">
      <c r="A188" s="36" t="s">
        <v>2545</v>
      </c>
      <c r="B188" s="35" t="s">
        <v>2544</v>
      </c>
      <c r="C188" s="36">
        <v>2018</v>
      </c>
      <c r="D188" s="35" t="s">
        <v>2543</v>
      </c>
      <c r="E188" s="36" t="s">
        <v>1277</v>
      </c>
      <c r="F188" s="36" t="s">
        <v>1276</v>
      </c>
      <c r="G188" s="36" t="s">
        <v>481</v>
      </c>
      <c r="H188" s="35" t="s">
        <v>2542</v>
      </c>
      <c r="I188" s="35" t="s">
        <v>2541</v>
      </c>
      <c r="J188" s="32" t="s">
        <v>479</v>
      </c>
    </row>
    <row r="189" spans="1:10" ht="15.75" customHeight="1" x14ac:dyDescent="0.3">
      <c r="A189" s="34" t="s">
        <v>2540</v>
      </c>
      <c r="B189" s="33" t="s">
        <v>2539</v>
      </c>
      <c r="C189" s="34">
        <v>2018</v>
      </c>
      <c r="D189" s="33" t="s">
        <v>2538</v>
      </c>
      <c r="E189" s="34" t="s">
        <v>1277</v>
      </c>
      <c r="F189" s="34" t="s">
        <v>1276</v>
      </c>
      <c r="G189" s="34" t="s">
        <v>481</v>
      </c>
      <c r="H189" s="33" t="s">
        <v>2537</v>
      </c>
      <c r="I189" s="33" t="s">
        <v>2536</v>
      </c>
      <c r="J189" s="32" t="s">
        <v>479</v>
      </c>
    </row>
    <row r="190" spans="1:10" ht="15.75" customHeight="1" x14ac:dyDescent="0.3">
      <c r="A190" s="36" t="s">
        <v>2535</v>
      </c>
      <c r="B190" s="35" t="s">
        <v>2534</v>
      </c>
      <c r="C190" s="36">
        <v>2025</v>
      </c>
      <c r="D190" s="35" t="s">
        <v>1582</v>
      </c>
      <c r="E190" s="36" t="s">
        <v>483</v>
      </c>
      <c r="F190" s="36" t="s">
        <v>1276</v>
      </c>
      <c r="G190" s="36" t="s">
        <v>481</v>
      </c>
      <c r="H190" s="35" t="s">
        <v>2533</v>
      </c>
      <c r="I190" s="35" t="s">
        <v>2532</v>
      </c>
      <c r="J190" s="32" t="s">
        <v>479</v>
      </c>
    </row>
    <row r="191" spans="1:10" ht="15.75" customHeight="1" x14ac:dyDescent="0.3">
      <c r="A191" s="34" t="s">
        <v>2531</v>
      </c>
      <c r="B191" s="33" t="s">
        <v>2530</v>
      </c>
      <c r="C191" s="34">
        <v>2023</v>
      </c>
      <c r="D191" s="33" t="s">
        <v>1702</v>
      </c>
      <c r="E191" s="34" t="s">
        <v>1277</v>
      </c>
      <c r="F191" s="34" t="s">
        <v>1276</v>
      </c>
      <c r="G191" s="34" t="s">
        <v>481</v>
      </c>
      <c r="H191" s="33" t="s">
        <v>2529</v>
      </c>
      <c r="I191" s="33" t="s">
        <v>2528</v>
      </c>
      <c r="J191" s="32" t="s">
        <v>479</v>
      </c>
    </row>
    <row r="192" spans="1:10" ht="15.75" customHeight="1" x14ac:dyDescent="0.3">
      <c r="A192" s="36" t="s">
        <v>312</v>
      </c>
      <c r="B192" s="35" t="s">
        <v>875</v>
      </c>
      <c r="C192" s="36">
        <v>2023</v>
      </c>
      <c r="D192" s="35" t="s">
        <v>2527</v>
      </c>
      <c r="E192" s="36" t="s">
        <v>483</v>
      </c>
      <c r="F192" s="36" t="s">
        <v>1276</v>
      </c>
      <c r="G192" s="36" t="s">
        <v>481</v>
      </c>
      <c r="H192" s="35" t="s">
        <v>874</v>
      </c>
      <c r="I192" s="35" t="s">
        <v>2526</v>
      </c>
      <c r="J192" s="32" t="s">
        <v>479</v>
      </c>
    </row>
    <row r="193" spans="1:10" ht="15.75" customHeight="1" x14ac:dyDescent="0.3">
      <c r="A193" s="34" t="s">
        <v>317</v>
      </c>
      <c r="B193" s="33" t="s">
        <v>2525</v>
      </c>
      <c r="C193" s="34">
        <v>2018</v>
      </c>
      <c r="D193" s="33" t="s">
        <v>2103</v>
      </c>
      <c r="E193" s="34" t="s">
        <v>483</v>
      </c>
      <c r="F193" s="34" t="s">
        <v>1276</v>
      </c>
      <c r="G193" s="34" t="s">
        <v>481</v>
      </c>
      <c r="H193" s="33" t="s">
        <v>2524</v>
      </c>
      <c r="I193" s="33" t="s">
        <v>2523</v>
      </c>
      <c r="J193" s="32" t="s">
        <v>479</v>
      </c>
    </row>
    <row r="194" spans="1:10" ht="15.75" customHeight="1" x14ac:dyDescent="0.3">
      <c r="A194" s="36" t="s">
        <v>177</v>
      </c>
      <c r="B194" s="35" t="s">
        <v>2522</v>
      </c>
      <c r="C194" s="36">
        <v>2017</v>
      </c>
      <c r="D194" s="35" t="s">
        <v>2521</v>
      </c>
      <c r="E194" s="36" t="s">
        <v>483</v>
      </c>
      <c r="F194" s="36" t="s">
        <v>1276</v>
      </c>
      <c r="G194" s="36" t="s">
        <v>481</v>
      </c>
      <c r="H194" s="35" t="s">
        <v>1070</v>
      </c>
      <c r="I194" s="35" t="s">
        <v>2520</v>
      </c>
      <c r="J194" s="32" t="s">
        <v>479</v>
      </c>
    </row>
    <row r="195" spans="1:10" ht="15.75" customHeight="1" x14ac:dyDescent="0.3">
      <c r="A195" s="34" t="s">
        <v>2519</v>
      </c>
      <c r="B195" s="33" t="s">
        <v>2518</v>
      </c>
      <c r="C195" s="34">
        <v>2014</v>
      </c>
      <c r="D195" s="33" t="s">
        <v>2517</v>
      </c>
      <c r="E195" s="34" t="s">
        <v>483</v>
      </c>
      <c r="F195" s="34" t="s">
        <v>1276</v>
      </c>
      <c r="G195" s="34" t="s">
        <v>481</v>
      </c>
      <c r="H195" s="33" t="s">
        <v>2516</v>
      </c>
      <c r="I195" s="33" t="s">
        <v>2515</v>
      </c>
      <c r="J195" s="32" t="s">
        <v>479</v>
      </c>
    </row>
    <row r="196" spans="1:10" ht="15.75" customHeight="1" x14ac:dyDescent="0.3">
      <c r="A196" s="36" t="s">
        <v>2514</v>
      </c>
      <c r="B196" s="35" t="s">
        <v>2513</v>
      </c>
      <c r="C196" s="36">
        <v>2009</v>
      </c>
      <c r="D196" s="35" t="s">
        <v>1317</v>
      </c>
      <c r="E196" s="36" t="s">
        <v>483</v>
      </c>
      <c r="F196" s="36" t="s">
        <v>1276</v>
      </c>
      <c r="G196" s="36" t="s">
        <v>481</v>
      </c>
      <c r="H196" s="35" t="s">
        <v>2512</v>
      </c>
      <c r="I196" s="35" t="s">
        <v>2511</v>
      </c>
      <c r="J196" s="32" t="s">
        <v>479</v>
      </c>
    </row>
    <row r="197" spans="1:10" ht="15.75" customHeight="1" x14ac:dyDescent="0.3">
      <c r="A197" s="34" t="s">
        <v>2510</v>
      </c>
      <c r="B197" s="33" t="s">
        <v>2509</v>
      </c>
      <c r="C197" s="34">
        <v>2007</v>
      </c>
      <c r="D197" s="33" t="s">
        <v>2508</v>
      </c>
      <c r="E197" s="34" t="s">
        <v>1277</v>
      </c>
      <c r="F197" s="34" t="s">
        <v>1276</v>
      </c>
      <c r="G197" s="34" t="s">
        <v>481</v>
      </c>
      <c r="H197" s="33" t="s">
        <v>2507</v>
      </c>
      <c r="I197" s="33" t="s">
        <v>2506</v>
      </c>
      <c r="J197" s="32" t="s">
        <v>479</v>
      </c>
    </row>
    <row r="198" spans="1:10" ht="15.75" customHeight="1" x14ac:dyDescent="0.3">
      <c r="A198" s="36" t="s">
        <v>320</v>
      </c>
      <c r="B198" s="35" t="s">
        <v>2505</v>
      </c>
      <c r="C198" s="36">
        <v>2020</v>
      </c>
      <c r="D198" s="35" t="s">
        <v>1525</v>
      </c>
      <c r="E198" s="36" t="s">
        <v>483</v>
      </c>
      <c r="F198" s="36" t="s">
        <v>1276</v>
      </c>
      <c r="G198" s="36" t="s">
        <v>481</v>
      </c>
      <c r="H198" s="35" t="s">
        <v>2504</v>
      </c>
      <c r="I198" s="35" t="s">
        <v>2503</v>
      </c>
      <c r="J198" s="32" t="s">
        <v>479</v>
      </c>
    </row>
    <row r="199" spans="1:10" ht="15.75" customHeight="1" x14ac:dyDescent="0.3">
      <c r="A199" s="34" t="s">
        <v>325</v>
      </c>
      <c r="B199" s="33" t="s">
        <v>2502</v>
      </c>
      <c r="C199" s="34">
        <v>2015</v>
      </c>
      <c r="D199" s="33" t="s">
        <v>1525</v>
      </c>
      <c r="E199" s="34" t="s">
        <v>483</v>
      </c>
      <c r="F199" s="34" t="s">
        <v>1276</v>
      </c>
      <c r="G199" s="34" t="s">
        <v>481</v>
      </c>
      <c r="H199" s="33" t="s">
        <v>2501</v>
      </c>
      <c r="I199" s="33" t="s">
        <v>2500</v>
      </c>
      <c r="J199" s="32" t="s">
        <v>479</v>
      </c>
    </row>
    <row r="200" spans="1:10" ht="15.75" customHeight="1" x14ac:dyDescent="0.3">
      <c r="A200" s="36" t="s">
        <v>2499</v>
      </c>
      <c r="B200" s="35" t="s">
        <v>2498</v>
      </c>
      <c r="C200" s="36">
        <v>2016</v>
      </c>
      <c r="D200" s="35" t="s">
        <v>1343</v>
      </c>
      <c r="E200" s="36" t="s">
        <v>1277</v>
      </c>
      <c r="F200" s="36" t="s">
        <v>1276</v>
      </c>
      <c r="G200" s="36" t="s">
        <v>481</v>
      </c>
      <c r="H200" s="35"/>
      <c r="I200" s="35" t="s">
        <v>2497</v>
      </c>
      <c r="J200" s="32" t="s">
        <v>479</v>
      </c>
    </row>
    <row r="201" spans="1:10" ht="15.75" customHeight="1" x14ac:dyDescent="0.3">
      <c r="A201" s="34" t="s">
        <v>2496</v>
      </c>
      <c r="B201" s="33" t="s">
        <v>2495</v>
      </c>
      <c r="C201" s="34">
        <v>2010</v>
      </c>
      <c r="D201" s="33" t="s">
        <v>2494</v>
      </c>
      <c r="E201" s="34" t="s">
        <v>1277</v>
      </c>
      <c r="F201" s="34" t="s">
        <v>1276</v>
      </c>
      <c r="G201" s="34" t="s">
        <v>481</v>
      </c>
      <c r="H201" s="33" t="s">
        <v>2493</v>
      </c>
      <c r="I201" s="33" t="s">
        <v>2492</v>
      </c>
      <c r="J201" s="32" t="s">
        <v>479</v>
      </c>
    </row>
    <row r="202" spans="1:10" ht="15.75" customHeight="1" x14ac:dyDescent="0.3">
      <c r="A202" s="36" t="s">
        <v>2491</v>
      </c>
      <c r="B202" s="35" t="s">
        <v>2490</v>
      </c>
      <c r="C202" s="36">
        <v>2008</v>
      </c>
      <c r="D202" s="35" t="s">
        <v>2489</v>
      </c>
      <c r="E202" s="36" t="s">
        <v>1277</v>
      </c>
      <c r="F202" s="36" t="s">
        <v>1276</v>
      </c>
      <c r="G202" s="36" t="s">
        <v>481</v>
      </c>
      <c r="H202" s="35" t="s">
        <v>2488</v>
      </c>
      <c r="I202" s="35" t="s">
        <v>2487</v>
      </c>
      <c r="J202" s="32" t="s">
        <v>479</v>
      </c>
    </row>
    <row r="203" spans="1:10" ht="15.75" customHeight="1" x14ac:dyDescent="0.3">
      <c r="A203" s="34" t="s">
        <v>2486</v>
      </c>
      <c r="B203" s="33" t="s">
        <v>2485</v>
      </c>
      <c r="C203" s="34">
        <v>2005</v>
      </c>
      <c r="D203" s="33" t="s">
        <v>1445</v>
      </c>
      <c r="E203" s="34" t="s">
        <v>483</v>
      </c>
      <c r="F203" s="34" t="s">
        <v>1276</v>
      </c>
      <c r="G203" s="34" t="s">
        <v>481</v>
      </c>
      <c r="H203" s="33"/>
      <c r="I203" s="33" t="s">
        <v>2484</v>
      </c>
      <c r="J203" s="32" t="s">
        <v>479</v>
      </c>
    </row>
    <row r="204" spans="1:10" ht="15.75" customHeight="1" x14ac:dyDescent="0.3">
      <c r="A204" s="36" t="s">
        <v>2483</v>
      </c>
      <c r="B204" s="35" t="s">
        <v>2482</v>
      </c>
      <c r="C204" s="36">
        <v>2024</v>
      </c>
      <c r="D204" s="35" t="s">
        <v>2110</v>
      </c>
      <c r="E204" s="36" t="s">
        <v>483</v>
      </c>
      <c r="F204" s="36" t="s">
        <v>1276</v>
      </c>
      <c r="G204" s="36" t="s">
        <v>481</v>
      </c>
      <c r="H204" s="35" t="s">
        <v>2481</v>
      </c>
      <c r="I204" s="35" t="s">
        <v>2480</v>
      </c>
      <c r="J204" s="32" t="s">
        <v>479</v>
      </c>
    </row>
    <row r="205" spans="1:10" ht="15.75" customHeight="1" x14ac:dyDescent="0.3">
      <c r="A205" s="34" t="s">
        <v>2479</v>
      </c>
      <c r="B205" s="33" t="s">
        <v>2478</v>
      </c>
      <c r="C205" s="34">
        <v>2013</v>
      </c>
      <c r="D205" s="33" t="s">
        <v>2477</v>
      </c>
      <c r="E205" s="34" t="s">
        <v>1277</v>
      </c>
      <c r="F205" s="34" t="s">
        <v>1276</v>
      </c>
      <c r="G205" s="34" t="s">
        <v>481</v>
      </c>
      <c r="H205" s="33" t="s">
        <v>2476</v>
      </c>
      <c r="I205" s="33" t="s">
        <v>2475</v>
      </c>
      <c r="J205" s="32" t="s">
        <v>479</v>
      </c>
    </row>
    <row r="206" spans="1:10" ht="15.75" customHeight="1" x14ac:dyDescent="0.3">
      <c r="A206" s="36" t="s">
        <v>331</v>
      </c>
      <c r="B206" s="35" t="s">
        <v>2474</v>
      </c>
      <c r="C206" s="36">
        <v>2024</v>
      </c>
      <c r="D206" s="35" t="s">
        <v>1862</v>
      </c>
      <c r="E206" s="36" t="s">
        <v>483</v>
      </c>
      <c r="F206" s="36" t="s">
        <v>1276</v>
      </c>
      <c r="G206" s="36" t="s">
        <v>481</v>
      </c>
      <c r="H206" s="35" t="s">
        <v>2473</v>
      </c>
      <c r="I206" s="35" t="s">
        <v>2472</v>
      </c>
      <c r="J206" s="32" t="s">
        <v>479</v>
      </c>
    </row>
    <row r="207" spans="1:10" ht="15.75" customHeight="1" x14ac:dyDescent="0.3">
      <c r="A207" s="34" t="s">
        <v>2471</v>
      </c>
      <c r="B207" s="33" t="s">
        <v>520</v>
      </c>
      <c r="C207" s="34">
        <v>2022</v>
      </c>
      <c r="D207" s="33" t="s">
        <v>2077</v>
      </c>
      <c r="E207" s="34" t="s">
        <v>483</v>
      </c>
      <c r="F207" s="34" t="s">
        <v>1276</v>
      </c>
      <c r="G207" s="34" t="s">
        <v>481</v>
      </c>
      <c r="H207" s="33" t="s">
        <v>518</v>
      </c>
      <c r="I207" s="33" t="s">
        <v>2470</v>
      </c>
      <c r="J207" s="32" t="s">
        <v>479</v>
      </c>
    </row>
    <row r="208" spans="1:10" ht="15.75" customHeight="1" x14ac:dyDescent="0.3">
      <c r="A208" s="36" t="s">
        <v>434</v>
      </c>
      <c r="B208" s="35" t="s">
        <v>2469</v>
      </c>
      <c r="C208" s="36">
        <v>2015</v>
      </c>
      <c r="D208" s="35" t="s">
        <v>2468</v>
      </c>
      <c r="E208" s="36" t="s">
        <v>483</v>
      </c>
      <c r="F208" s="36" t="s">
        <v>1276</v>
      </c>
      <c r="G208" s="36" t="s">
        <v>481</v>
      </c>
      <c r="H208" s="35" t="s">
        <v>2467</v>
      </c>
      <c r="I208" s="35" t="s">
        <v>2466</v>
      </c>
      <c r="J208" s="32" t="s">
        <v>479</v>
      </c>
    </row>
    <row r="209" spans="1:10" ht="15.75" customHeight="1" x14ac:dyDescent="0.3">
      <c r="A209" s="34" t="s">
        <v>2465</v>
      </c>
      <c r="B209" s="33" t="s">
        <v>2464</v>
      </c>
      <c r="C209" s="34">
        <v>2014</v>
      </c>
      <c r="D209" s="33" t="s">
        <v>2463</v>
      </c>
      <c r="E209" s="34" t="s">
        <v>1277</v>
      </c>
      <c r="F209" s="34" t="s">
        <v>1276</v>
      </c>
      <c r="G209" s="34" t="s">
        <v>481</v>
      </c>
      <c r="H209" s="33"/>
      <c r="I209" s="33" t="s">
        <v>2462</v>
      </c>
      <c r="J209" s="32" t="s">
        <v>479</v>
      </c>
    </row>
    <row r="210" spans="1:10" ht="15.75" customHeight="1" x14ac:dyDescent="0.3">
      <c r="A210" s="36" t="s">
        <v>2461</v>
      </c>
      <c r="B210" s="35" t="s">
        <v>2460</v>
      </c>
      <c r="C210" s="36">
        <v>2010</v>
      </c>
      <c r="D210" s="35" t="s">
        <v>2459</v>
      </c>
      <c r="E210" s="36" t="s">
        <v>1277</v>
      </c>
      <c r="F210" s="36" t="s">
        <v>1276</v>
      </c>
      <c r="G210" s="36" t="s">
        <v>481</v>
      </c>
      <c r="H210" s="35" t="s">
        <v>2458</v>
      </c>
      <c r="I210" s="35" t="s">
        <v>2457</v>
      </c>
      <c r="J210" s="32" t="s">
        <v>479</v>
      </c>
    </row>
    <row r="211" spans="1:10" ht="15.75" customHeight="1" x14ac:dyDescent="0.3">
      <c r="A211" s="34" t="s">
        <v>2456</v>
      </c>
      <c r="B211" s="33" t="s">
        <v>2455</v>
      </c>
      <c r="C211" s="34">
        <v>2007</v>
      </c>
      <c r="D211" s="33" t="s">
        <v>2454</v>
      </c>
      <c r="E211" s="34" t="s">
        <v>1277</v>
      </c>
      <c r="F211" s="34" t="s">
        <v>1276</v>
      </c>
      <c r="G211" s="34" t="s">
        <v>481</v>
      </c>
      <c r="H211" s="33"/>
      <c r="I211" s="33" t="s">
        <v>2453</v>
      </c>
      <c r="J211" s="32" t="s">
        <v>479</v>
      </c>
    </row>
    <row r="212" spans="1:10" ht="15.75" customHeight="1" x14ac:dyDescent="0.3">
      <c r="A212" s="36" t="s">
        <v>2452</v>
      </c>
      <c r="B212" s="35" t="s">
        <v>2451</v>
      </c>
      <c r="C212" s="36">
        <v>2018</v>
      </c>
      <c r="D212" s="35" t="s">
        <v>2450</v>
      </c>
      <c r="E212" s="36" t="s">
        <v>1416</v>
      </c>
      <c r="F212" s="36" t="s">
        <v>1276</v>
      </c>
      <c r="G212" s="36" t="s">
        <v>481</v>
      </c>
      <c r="H212" s="35" t="s">
        <v>2449</v>
      </c>
      <c r="I212" s="35" t="s">
        <v>2448</v>
      </c>
      <c r="J212" s="32" t="s">
        <v>479</v>
      </c>
    </row>
    <row r="213" spans="1:10" ht="15.75" customHeight="1" x14ac:dyDescent="0.3">
      <c r="A213" s="34" t="s">
        <v>2447</v>
      </c>
      <c r="B213" s="33" t="s">
        <v>2446</v>
      </c>
      <c r="C213" s="34">
        <v>2016</v>
      </c>
      <c r="D213" s="33" t="s">
        <v>2445</v>
      </c>
      <c r="E213" s="34" t="s">
        <v>483</v>
      </c>
      <c r="F213" s="34" t="s">
        <v>1276</v>
      </c>
      <c r="G213" s="34" t="s">
        <v>1357</v>
      </c>
      <c r="H213" s="33" t="s">
        <v>2444</v>
      </c>
      <c r="I213" s="33" t="s">
        <v>2443</v>
      </c>
      <c r="J213" s="32" t="s">
        <v>479</v>
      </c>
    </row>
    <row r="214" spans="1:10" ht="15.75" customHeight="1" x14ac:dyDescent="0.3">
      <c r="A214" s="36" t="s">
        <v>2442</v>
      </c>
      <c r="B214" s="35" t="s">
        <v>2441</v>
      </c>
      <c r="C214" s="36">
        <v>2011</v>
      </c>
      <c r="D214" s="35" t="s">
        <v>1386</v>
      </c>
      <c r="E214" s="36" t="s">
        <v>483</v>
      </c>
      <c r="F214" s="36" t="s">
        <v>1276</v>
      </c>
      <c r="G214" s="36" t="s">
        <v>481</v>
      </c>
      <c r="H214" s="35" t="s">
        <v>2440</v>
      </c>
      <c r="I214" s="35" t="s">
        <v>2439</v>
      </c>
      <c r="J214" s="32" t="s">
        <v>479</v>
      </c>
    </row>
    <row r="215" spans="1:10" ht="15.75" customHeight="1" x14ac:dyDescent="0.3">
      <c r="A215" s="34" t="s">
        <v>179</v>
      </c>
      <c r="B215" s="33" t="s">
        <v>2438</v>
      </c>
      <c r="C215" s="34">
        <v>2022</v>
      </c>
      <c r="D215" s="33" t="s">
        <v>2437</v>
      </c>
      <c r="E215" s="34" t="s">
        <v>483</v>
      </c>
      <c r="F215" s="34" t="s">
        <v>1276</v>
      </c>
      <c r="G215" s="34" t="s">
        <v>481</v>
      </c>
      <c r="H215" s="33" t="s">
        <v>2436</v>
      </c>
      <c r="I215" s="33" t="s">
        <v>2435</v>
      </c>
      <c r="J215" s="32" t="s">
        <v>479</v>
      </c>
    </row>
    <row r="216" spans="1:10" ht="15.75" customHeight="1" x14ac:dyDescent="0.3">
      <c r="A216" s="36" t="s">
        <v>2434</v>
      </c>
      <c r="B216" s="35" t="s">
        <v>2433</v>
      </c>
      <c r="C216" s="36">
        <v>2009</v>
      </c>
      <c r="D216" s="35" t="s">
        <v>2432</v>
      </c>
      <c r="E216" s="36" t="s">
        <v>1277</v>
      </c>
      <c r="F216" s="36" t="s">
        <v>1276</v>
      </c>
      <c r="G216" s="36" t="s">
        <v>481</v>
      </c>
      <c r="H216" s="35"/>
      <c r="I216" s="35" t="s">
        <v>2431</v>
      </c>
      <c r="J216" s="32" t="s">
        <v>479</v>
      </c>
    </row>
    <row r="217" spans="1:10" ht="15.75" customHeight="1" x14ac:dyDescent="0.3">
      <c r="A217" s="34" t="s">
        <v>2430</v>
      </c>
      <c r="B217" s="33" t="s">
        <v>2429</v>
      </c>
      <c r="C217" s="34">
        <v>2006</v>
      </c>
      <c r="D217" s="33" t="s">
        <v>2428</v>
      </c>
      <c r="E217" s="34" t="s">
        <v>483</v>
      </c>
      <c r="F217" s="34" t="s">
        <v>1276</v>
      </c>
      <c r="G217" s="34" t="s">
        <v>481</v>
      </c>
      <c r="H217" s="33"/>
      <c r="I217" s="33" t="s">
        <v>2427</v>
      </c>
      <c r="J217" s="32" t="s">
        <v>479</v>
      </c>
    </row>
    <row r="218" spans="1:10" ht="15.75" customHeight="1" x14ac:dyDescent="0.3">
      <c r="A218" s="36" t="s">
        <v>2426</v>
      </c>
      <c r="B218" s="35" t="s">
        <v>2425</v>
      </c>
      <c r="C218" s="36">
        <v>2025</v>
      </c>
      <c r="D218" s="35" t="s">
        <v>2088</v>
      </c>
      <c r="E218" s="36" t="s">
        <v>483</v>
      </c>
      <c r="F218" s="36" t="s">
        <v>1276</v>
      </c>
      <c r="G218" s="36" t="s">
        <v>481</v>
      </c>
      <c r="H218" s="35" t="s">
        <v>2424</v>
      </c>
      <c r="I218" s="35" t="s">
        <v>2423</v>
      </c>
      <c r="J218" s="32" t="s">
        <v>479</v>
      </c>
    </row>
    <row r="219" spans="1:10" ht="15.75" customHeight="1" x14ac:dyDescent="0.3">
      <c r="A219" s="34" t="s">
        <v>182</v>
      </c>
      <c r="B219" s="33" t="s">
        <v>2422</v>
      </c>
      <c r="C219" s="34">
        <v>2023</v>
      </c>
      <c r="D219" s="33" t="s">
        <v>2421</v>
      </c>
      <c r="E219" s="34" t="s">
        <v>483</v>
      </c>
      <c r="F219" s="34" t="s">
        <v>1276</v>
      </c>
      <c r="G219" s="34" t="s">
        <v>481</v>
      </c>
      <c r="H219" s="33" t="s">
        <v>2420</v>
      </c>
      <c r="I219" s="33" t="s">
        <v>2419</v>
      </c>
      <c r="J219" s="32" t="s">
        <v>479</v>
      </c>
    </row>
    <row r="220" spans="1:10" ht="15.75" customHeight="1" x14ac:dyDescent="0.3">
      <c r="A220" s="36" t="s">
        <v>2418</v>
      </c>
      <c r="B220" s="35" t="s">
        <v>2417</v>
      </c>
      <c r="C220" s="36">
        <v>2019</v>
      </c>
      <c r="D220" s="35" t="s">
        <v>2416</v>
      </c>
      <c r="E220" s="36" t="s">
        <v>1277</v>
      </c>
      <c r="F220" s="36" t="s">
        <v>1276</v>
      </c>
      <c r="G220" s="36" t="s">
        <v>481</v>
      </c>
      <c r="H220" s="35" t="s">
        <v>2415</v>
      </c>
      <c r="I220" s="35" t="s">
        <v>2414</v>
      </c>
      <c r="J220" s="32" t="s">
        <v>479</v>
      </c>
    </row>
    <row r="221" spans="1:10" ht="15.75" customHeight="1" x14ac:dyDescent="0.3">
      <c r="A221" s="34" t="s">
        <v>2413</v>
      </c>
      <c r="B221" s="33" t="s">
        <v>2412</v>
      </c>
      <c r="C221" s="34">
        <v>2013</v>
      </c>
      <c r="D221" s="33" t="s">
        <v>2411</v>
      </c>
      <c r="E221" s="34" t="s">
        <v>1277</v>
      </c>
      <c r="F221" s="34" t="s">
        <v>1276</v>
      </c>
      <c r="G221" s="34" t="s">
        <v>481</v>
      </c>
      <c r="H221" s="33"/>
      <c r="I221" s="33" t="s">
        <v>2410</v>
      </c>
      <c r="J221" s="32" t="s">
        <v>479</v>
      </c>
    </row>
    <row r="222" spans="1:10" ht="15.75" customHeight="1" x14ac:dyDescent="0.3">
      <c r="A222" s="36" t="s">
        <v>2409</v>
      </c>
      <c r="B222" s="35" t="s">
        <v>2408</v>
      </c>
      <c r="C222" s="36">
        <v>2018</v>
      </c>
      <c r="D222" s="35" t="s">
        <v>1358</v>
      </c>
      <c r="E222" s="36" t="s">
        <v>483</v>
      </c>
      <c r="F222" s="36" t="s">
        <v>1276</v>
      </c>
      <c r="G222" s="36" t="s">
        <v>1357</v>
      </c>
      <c r="H222" s="35" t="s">
        <v>2407</v>
      </c>
      <c r="I222" s="35" t="s">
        <v>2406</v>
      </c>
      <c r="J222" s="32" t="s">
        <v>479</v>
      </c>
    </row>
    <row r="223" spans="1:10" ht="15.75" customHeight="1" x14ac:dyDescent="0.3">
      <c r="A223" s="34" t="s">
        <v>2405</v>
      </c>
      <c r="B223" s="33" t="s">
        <v>2404</v>
      </c>
      <c r="C223" s="34">
        <v>2008</v>
      </c>
      <c r="D223" s="33" t="s">
        <v>1719</v>
      </c>
      <c r="E223" s="34" t="s">
        <v>1277</v>
      </c>
      <c r="F223" s="34" t="s">
        <v>1276</v>
      </c>
      <c r="G223" s="34" t="s">
        <v>481</v>
      </c>
      <c r="H223" s="33" t="s">
        <v>2403</v>
      </c>
      <c r="I223" s="33" t="s">
        <v>2402</v>
      </c>
      <c r="J223" s="32" t="s">
        <v>479</v>
      </c>
    </row>
    <row r="224" spans="1:10" ht="15.75" customHeight="1" x14ac:dyDescent="0.3">
      <c r="A224" s="36" t="s">
        <v>2401</v>
      </c>
      <c r="B224" s="35" t="s">
        <v>2400</v>
      </c>
      <c r="C224" s="36">
        <v>2008</v>
      </c>
      <c r="D224" s="35" t="s">
        <v>1462</v>
      </c>
      <c r="E224" s="36" t="s">
        <v>1277</v>
      </c>
      <c r="F224" s="36" t="s">
        <v>1276</v>
      </c>
      <c r="G224" s="36" t="s">
        <v>481</v>
      </c>
      <c r="H224" s="35" t="s">
        <v>1026</v>
      </c>
      <c r="I224" s="35" t="s">
        <v>2399</v>
      </c>
      <c r="J224" s="32" t="s">
        <v>479</v>
      </c>
    </row>
    <row r="225" spans="1:10" ht="15.75" customHeight="1" x14ac:dyDescent="0.3">
      <c r="A225" s="34" t="s">
        <v>2398</v>
      </c>
      <c r="B225" s="33" t="s">
        <v>2397</v>
      </c>
      <c r="C225" s="34">
        <v>2021</v>
      </c>
      <c r="D225" s="33" t="s">
        <v>1649</v>
      </c>
      <c r="E225" s="34" t="s">
        <v>1277</v>
      </c>
      <c r="F225" s="34" t="s">
        <v>1276</v>
      </c>
      <c r="G225" s="34" t="s">
        <v>481</v>
      </c>
      <c r="H225" s="33"/>
      <c r="I225" s="33" t="s">
        <v>2396</v>
      </c>
      <c r="J225" s="32" t="s">
        <v>479</v>
      </c>
    </row>
    <row r="226" spans="1:10" ht="15.75" customHeight="1" x14ac:dyDescent="0.3">
      <c r="A226" s="36" t="s">
        <v>2395</v>
      </c>
      <c r="B226" s="35" t="s">
        <v>985</v>
      </c>
      <c r="C226" s="36">
        <v>2010</v>
      </c>
      <c r="D226" s="35" t="s">
        <v>1904</v>
      </c>
      <c r="E226" s="36" t="s">
        <v>483</v>
      </c>
      <c r="F226" s="36" t="s">
        <v>1276</v>
      </c>
      <c r="G226" s="36" t="s">
        <v>481</v>
      </c>
      <c r="H226" s="35" t="s">
        <v>984</v>
      </c>
      <c r="I226" s="35" t="s">
        <v>2394</v>
      </c>
      <c r="J226" s="32" t="s">
        <v>479</v>
      </c>
    </row>
    <row r="227" spans="1:10" ht="15.75" customHeight="1" x14ac:dyDescent="0.3">
      <c r="A227" s="34" t="s">
        <v>185</v>
      </c>
      <c r="B227" s="33" t="s">
        <v>2393</v>
      </c>
      <c r="C227" s="34">
        <v>2018</v>
      </c>
      <c r="D227" s="33" t="s">
        <v>1561</v>
      </c>
      <c r="E227" s="34" t="s">
        <v>483</v>
      </c>
      <c r="F227" s="34" t="s">
        <v>1276</v>
      </c>
      <c r="G227" s="34" t="s">
        <v>481</v>
      </c>
      <c r="H227" s="33" t="s">
        <v>513</v>
      </c>
      <c r="I227" s="33" t="s">
        <v>2392</v>
      </c>
      <c r="J227" s="32" t="s">
        <v>479</v>
      </c>
    </row>
    <row r="228" spans="1:10" ht="15.75" customHeight="1" x14ac:dyDescent="0.3">
      <c r="A228" s="36" t="s">
        <v>2391</v>
      </c>
      <c r="B228" s="35" t="s">
        <v>2390</v>
      </c>
      <c r="C228" s="36">
        <v>2014</v>
      </c>
      <c r="D228" s="35" t="s">
        <v>2389</v>
      </c>
      <c r="E228" s="36" t="s">
        <v>1277</v>
      </c>
      <c r="F228" s="36" t="s">
        <v>1276</v>
      </c>
      <c r="G228" s="36" t="s">
        <v>481</v>
      </c>
      <c r="H228" s="35" t="s">
        <v>621</v>
      </c>
      <c r="I228" s="35" t="s">
        <v>2388</v>
      </c>
      <c r="J228" s="32" t="s">
        <v>479</v>
      </c>
    </row>
    <row r="229" spans="1:10" ht="15.75" customHeight="1" x14ac:dyDescent="0.3">
      <c r="A229" s="34" t="s">
        <v>2387</v>
      </c>
      <c r="B229" s="33" t="s">
        <v>2386</v>
      </c>
      <c r="C229" s="34">
        <v>2018</v>
      </c>
      <c r="D229" s="33" t="s">
        <v>2385</v>
      </c>
      <c r="E229" s="34" t="s">
        <v>1277</v>
      </c>
      <c r="F229" s="34" t="s">
        <v>1276</v>
      </c>
      <c r="G229" s="34" t="s">
        <v>481</v>
      </c>
      <c r="H229" s="33"/>
      <c r="I229" s="33" t="s">
        <v>2384</v>
      </c>
      <c r="J229" s="32" t="s">
        <v>479</v>
      </c>
    </row>
    <row r="230" spans="1:10" ht="15.75" customHeight="1" x14ac:dyDescent="0.3">
      <c r="A230" s="36" t="s">
        <v>187</v>
      </c>
      <c r="B230" s="35" t="s">
        <v>2383</v>
      </c>
      <c r="C230" s="36">
        <v>2024</v>
      </c>
      <c r="D230" s="35" t="s">
        <v>1561</v>
      </c>
      <c r="E230" s="36" t="s">
        <v>483</v>
      </c>
      <c r="F230" s="36" t="s">
        <v>1276</v>
      </c>
      <c r="G230" s="36" t="s">
        <v>481</v>
      </c>
      <c r="H230" s="35" t="s">
        <v>2382</v>
      </c>
      <c r="I230" s="35" t="s">
        <v>2381</v>
      </c>
      <c r="J230" s="32" t="s">
        <v>479</v>
      </c>
    </row>
    <row r="231" spans="1:10" ht="15.75" customHeight="1" x14ac:dyDescent="0.3">
      <c r="A231" s="34" t="s">
        <v>2380</v>
      </c>
      <c r="B231" s="33" t="s">
        <v>2379</v>
      </c>
      <c r="C231" s="34">
        <v>2018</v>
      </c>
      <c r="D231" s="33" t="s">
        <v>1744</v>
      </c>
      <c r="E231" s="34" t="s">
        <v>483</v>
      </c>
      <c r="F231" s="34" t="s">
        <v>1276</v>
      </c>
      <c r="G231" s="34" t="s">
        <v>1357</v>
      </c>
      <c r="H231" s="33" t="s">
        <v>2378</v>
      </c>
      <c r="I231" s="33" t="s">
        <v>2377</v>
      </c>
      <c r="J231" s="32" t="s">
        <v>479</v>
      </c>
    </row>
    <row r="232" spans="1:10" ht="15.75" customHeight="1" x14ac:dyDescent="0.3">
      <c r="A232" s="36" t="s">
        <v>2376</v>
      </c>
      <c r="B232" s="35" t="s">
        <v>2375</v>
      </c>
      <c r="C232" s="36">
        <v>2017</v>
      </c>
      <c r="D232" s="35" t="s">
        <v>1702</v>
      </c>
      <c r="E232" s="36" t="s">
        <v>1277</v>
      </c>
      <c r="F232" s="36" t="s">
        <v>1276</v>
      </c>
      <c r="G232" s="36" t="s">
        <v>481</v>
      </c>
      <c r="H232" s="35" t="s">
        <v>1174</v>
      </c>
      <c r="I232" s="35" t="s">
        <v>2374</v>
      </c>
      <c r="J232" s="32" t="s">
        <v>479</v>
      </c>
    </row>
    <row r="233" spans="1:10" ht="15.75" customHeight="1" x14ac:dyDescent="0.3">
      <c r="A233" s="34" t="s">
        <v>2373</v>
      </c>
      <c r="B233" s="33" t="s">
        <v>2372</v>
      </c>
      <c r="C233" s="34">
        <v>2007</v>
      </c>
      <c r="D233" s="33" t="s">
        <v>2014</v>
      </c>
      <c r="E233" s="34" t="s">
        <v>1277</v>
      </c>
      <c r="F233" s="34" t="s">
        <v>1276</v>
      </c>
      <c r="G233" s="34" t="s">
        <v>481</v>
      </c>
      <c r="H233" s="33" t="s">
        <v>2371</v>
      </c>
      <c r="I233" s="33" t="s">
        <v>2370</v>
      </c>
      <c r="J233" s="32" t="s">
        <v>479</v>
      </c>
    </row>
    <row r="234" spans="1:10" ht="15.75" customHeight="1" x14ac:dyDescent="0.3">
      <c r="A234" s="36" t="s">
        <v>189</v>
      </c>
      <c r="B234" s="35" t="s">
        <v>2369</v>
      </c>
      <c r="C234" s="36">
        <v>2025</v>
      </c>
      <c r="D234" s="35" t="s">
        <v>2368</v>
      </c>
      <c r="E234" s="36" t="s">
        <v>483</v>
      </c>
      <c r="F234" s="36" t="s">
        <v>1276</v>
      </c>
      <c r="G234" s="36" t="s">
        <v>481</v>
      </c>
      <c r="H234" s="35" t="s">
        <v>2367</v>
      </c>
      <c r="I234" s="35" t="s">
        <v>2366</v>
      </c>
      <c r="J234" s="32" t="s">
        <v>479</v>
      </c>
    </row>
    <row r="235" spans="1:10" ht="15.75" customHeight="1" x14ac:dyDescent="0.3">
      <c r="A235" s="34" t="s">
        <v>2365</v>
      </c>
      <c r="B235" s="33" t="s">
        <v>2364</v>
      </c>
      <c r="C235" s="34">
        <v>2016</v>
      </c>
      <c r="D235" s="33" t="s">
        <v>1516</v>
      </c>
      <c r="E235" s="34" t="s">
        <v>483</v>
      </c>
      <c r="F235" s="34" t="s">
        <v>1276</v>
      </c>
      <c r="G235" s="34" t="s">
        <v>481</v>
      </c>
      <c r="H235" s="33" t="s">
        <v>2363</v>
      </c>
      <c r="I235" s="33" t="s">
        <v>2362</v>
      </c>
      <c r="J235" s="32" t="s">
        <v>479</v>
      </c>
    </row>
    <row r="236" spans="1:10" ht="15.75" customHeight="1" x14ac:dyDescent="0.3">
      <c r="A236" s="36" t="s">
        <v>2361</v>
      </c>
      <c r="B236" s="35" t="s">
        <v>736</v>
      </c>
      <c r="C236" s="36">
        <v>2022</v>
      </c>
      <c r="D236" s="35" t="s">
        <v>2237</v>
      </c>
      <c r="E236" s="36" t="s">
        <v>1277</v>
      </c>
      <c r="F236" s="36" t="s">
        <v>1276</v>
      </c>
      <c r="G236" s="36" t="s">
        <v>481</v>
      </c>
      <c r="H236" s="35" t="s">
        <v>734</v>
      </c>
      <c r="I236" s="35" t="s">
        <v>2360</v>
      </c>
      <c r="J236" s="32" t="s">
        <v>479</v>
      </c>
    </row>
    <row r="237" spans="1:10" ht="15.75" customHeight="1" x14ac:dyDescent="0.3">
      <c r="A237" s="34" t="s">
        <v>2359</v>
      </c>
      <c r="B237" s="33" t="s">
        <v>2358</v>
      </c>
      <c r="C237" s="34">
        <v>2021</v>
      </c>
      <c r="D237" s="33" t="s">
        <v>2308</v>
      </c>
      <c r="E237" s="34" t="s">
        <v>1277</v>
      </c>
      <c r="F237" s="34" t="s">
        <v>1276</v>
      </c>
      <c r="G237" s="34" t="s">
        <v>481</v>
      </c>
      <c r="H237" s="33" t="s">
        <v>2357</v>
      </c>
      <c r="I237" s="33" t="s">
        <v>2356</v>
      </c>
      <c r="J237" s="32" t="s">
        <v>479</v>
      </c>
    </row>
    <row r="238" spans="1:10" ht="15.75" customHeight="1" x14ac:dyDescent="0.3">
      <c r="A238" s="36" t="s">
        <v>2355</v>
      </c>
      <c r="B238" s="35" t="s">
        <v>2354</v>
      </c>
      <c r="C238" s="36">
        <v>2022</v>
      </c>
      <c r="D238" s="35" t="s">
        <v>2353</v>
      </c>
      <c r="E238" s="36" t="s">
        <v>483</v>
      </c>
      <c r="F238" s="36" t="s">
        <v>1276</v>
      </c>
      <c r="G238" s="36" t="s">
        <v>481</v>
      </c>
      <c r="H238" s="35" t="s">
        <v>2352</v>
      </c>
      <c r="I238" s="35" t="s">
        <v>2351</v>
      </c>
      <c r="J238" s="32" t="s">
        <v>479</v>
      </c>
    </row>
    <row r="239" spans="1:10" ht="15.75" customHeight="1" x14ac:dyDescent="0.3">
      <c r="A239" s="34" t="s">
        <v>2350</v>
      </c>
      <c r="B239" s="33" t="s">
        <v>2349</v>
      </c>
      <c r="C239" s="34">
        <v>2015</v>
      </c>
      <c r="D239" s="33" t="s">
        <v>1343</v>
      </c>
      <c r="E239" s="34" t="s">
        <v>1277</v>
      </c>
      <c r="F239" s="34" t="s">
        <v>1276</v>
      </c>
      <c r="G239" s="34" t="s">
        <v>481</v>
      </c>
      <c r="H239" s="33" t="s">
        <v>2348</v>
      </c>
      <c r="I239" s="33" t="s">
        <v>2347</v>
      </c>
      <c r="J239" s="32" t="s">
        <v>479</v>
      </c>
    </row>
    <row r="240" spans="1:10" ht="15.75" customHeight="1" x14ac:dyDescent="0.3">
      <c r="A240" s="36" t="s">
        <v>2346</v>
      </c>
      <c r="B240" s="35" t="s">
        <v>2345</v>
      </c>
      <c r="C240" s="36">
        <v>2002</v>
      </c>
      <c r="D240" s="35" t="s">
        <v>2344</v>
      </c>
      <c r="E240" s="36" t="s">
        <v>483</v>
      </c>
      <c r="F240" s="36" t="s">
        <v>1276</v>
      </c>
      <c r="G240" s="36" t="s">
        <v>481</v>
      </c>
      <c r="H240" s="35" t="s">
        <v>2343</v>
      </c>
      <c r="I240" s="35" t="s">
        <v>2342</v>
      </c>
      <c r="J240" s="32" t="s">
        <v>479</v>
      </c>
    </row>
    <row r="241" spans="1:10" ht="15.75" customHeight="1" x14ac:dyDescent="0.3">
      <c r="A241" s="34" t="s">
        <v>2341</v>
      </c>
      <c r="B241" s="33" t="s">
        <v>2340</v>
      </c>
      <c r="C241" s="34">
        <v>2024</v>
      </c>
      <c r="D241" s="33" t="s">
        <v>1706</v>
      </c>
      <c r="E241" s="34" t="s">
        <v>483</v>
      </c>
      <c r="F241" s="34" t="s">
        <v>1276</v>
      </c>
      <c r="G241" s="34" t="s">
        <v>1357</v>
      </c>
      <c r="H241" s="33"/>
      <c r="I241" s="33" t="s">
        <v>2339</v>
      </c>
      <c r="J241" s="32" t="s">
        <v>479</v>
      </c>
    </row>
    <row r="242" spans="1:10" ht="15.75" customHeight="1" x14ac:dyDescent="0.3">
      <c r="A242" s="36" t="s">
        <v>2338</v>
      </c>
      <c r="B242" s="35" t="s">
        <v>2337</v>
      </c>
      <c r="C242" s="36">
        <v>2001</v>
      </c>
      <c r="D242" s="35" t="s">
        <v>2336</v>
      </c>
      <c r="E242" s="36" t="s">
        <v>1277</v>
      </c>
      <c r="F242" s="36" t="s">
        <v>1276</v>
      </c>
      <c r="G242" s="36" t="s">
        <v>2335</v>
      </c>
      <c r="H242" s="35"/>
      <c r="I242" s="35" t="s">
        <v>2334</v>
      </c>
      <c r="J242" s="32" t="s">
        <v>479</v>
      </c>
    </row>
    <row r="243" spans="1:10" ht="15.75" customHeight="1" x14ac:dyDescent="0.3">
      <c r="A243" s="34" t="s">
        <v>2333</v>
      </c>
      <c r="B243" s="33" t="s">
        <v>2034</v>
      </c>
      <c r="C243" s="34">
        <v>2011</v>
      </c>
      <c r="D243" s="33" t="s">
        <v>1374</v>
      </c>
      <c r="E243" s="34" t="s">
        <v>483</v>
      </c>
      <c r="F243" s="34" t="s">
        <v>1276</v>
      </c>
      <c r="G243" s="34" t="s">
        <v>481</v>
      </c>
      <c r="H243" s="33"/>
      <c r="I243" s="33" t="s">
        <v>2332</v>
      </c>
      <c r="J243" s="32" t="s">
        <v>479</v>
      </c>
    </row>
    <row r="244" spans="1:10" ht="15.75" customHeight="1" x14ac:dyDescent="0.3">
      <c r="A244" s="36" t="s">
        <v>2331</v>
      </c>
      <c r="B244" s="35" t="s">
        <v>2330</v>
      </c>
      <c r="C244" s="36">
        <v>2009</v>
      </c>
      <c r="D244" s="35" t="s">
        <v>1317</v>
      </c>
      <c r="E244" s="36" t="s">
        <v>483</v>
      </c>
      <c r="F244" s="36" t="s">
        <v>1276</v>
      </c>
      <c r="G244" s="36" t="s">
        <v>481</v>
      </c>
      <c r="H244" s="35" t="s">
        <v>609</v>
      </c>
      <c r="I244" s="35" t="s">
        <v>608</v>
      </c>
      <c r="J244" s="32" t="s">
        <v>479</v>
      </c>
    </row>
    <row r="245" spans="1:10" ht="15.75" customHeight="1" x14ac:dyDescent="0.3">
      <c r="A245" s="34" t="s">
        <v>2329</v>
      </c>
      <c r="B245" s="33" t="s">
        <v>2229</v>
      </c>
      <c r="C245" s="34">
        <v>2012</v>
      </c>
      <c r="D245" s="33" t="s">
        <v>2184</v>
      </c>
      <c r="E245" s="34" t="s">
        <v>1277</v>
      </c>
      <c r="F245" s="34" t="s">
        <v>1276</v>
      </c>
      <c r="G245" s="34" t="s">
        <v>481</v>
      </c>
      <c r="H245" s="33"/>
      <c r="I245" s="33" t="s">
        <v>1266</v>
      </c>
      <c r="J245" s="32" t="s">
        <v>479</v>
      </c>
    </row>
    <row r="246" spans="1:10" ht="15.75" customHeight="1" x14ac:dyDescent="0.3">
      <c r="A246" s="36" t="s">
        <v>2328</v>
      </c>
      <c r="B246" s="35" t="s">
        <v>884</v>
      </c>
      <c r="C246" s="36">
        <v>2001</v>
      </c>
      <c r="D246" s="35" t="s">
        <v>2327</v>
      </c>
      <c r="E246" s="36" t="s">
        <v>483</v>
      </c>
      <c r="F246" s="36" t="s">
        <v>1276</v>
      </c>
      <c r="G246" s="36" t="s">
        <v>481</v>
      </c>
      <c r="H246" s="35" t="s">
        <v>882</v>
      </c>
      <c r="I246" s="35" t="s">
        <v>2326</v>
      </c>
      <c r="J246" s="32" t="s">
        <v>479</v>
      </c>
    </row>
    <row r="247" spans="1:10" ht="15.75" customHeight="1" x14ac:dyDescent="0.3">
      <c r="A247" s="34" t="s">
        <v>2325</v>
      </c>
      <c r="B247" s="33" t="s">
        <v>2154</v>
      </c>
      <c r="C247" s="34">
        <v>2011</v>
      </c>
      <c r="D247" s="33" t="s">
        <v>1374</v>
      </c>
      <c r="E247" s="34" t="s">
        <v>483</v>
      </c>
      <c r="F247" s="34" t="s">
        <v>1276</v>
      </c>
      <c r="G247" s="34" t="s">
        <v>481</v>
      </c>
      <c r="H247" s="33"/>
      <c r="I247" s="33" t="s">
        <v>2324</v>
      </c>
      <c r="J247" s="32" t="s">
        <v>479</v>
      </c>
    </row>
    <row r="248" spans="1:10" ht="15.75" customHeight="1" x14ac:dyDescent="0.3">
      <c r="A248" s="36" t="s">
        <v>2323</v>
      </c>
      <c r="B248" s="35" t="s">
        <v>2322</v>
      </c>
      <c r="C248" s="36">
        <v>2022</v>
      </c>
      <c r="D248" s="35" t="s">
        <v>2321</v>
      </c>
      <c r="E248" s="36" t="s">
        <v>1277</v>
      </c>
      <c r="F248" s="36" t="s">
        <v>1276</v>
      </c>
      <c r="G248" s="36" t="s">
        <v>481</v>
      </c>
      <c r="H248" s="35" t="s">
        <v>2320</v>
      </c>
      <c r="I248" s="35" t="s">
        <v>2319</v>
      </c>
      <c r="J248" s="32" t="s">
        <v>479</v>
      </c>
    </row>
    <row r="249" spans="1:10" ht="15.75" customHeight="1" x14ac:dyDescent="0.3">
      <c r="A249" s="34" t="s">
        <v>2318</v>
      </c>
      <c r="B249" s="33" t="s">
        <v>2317</v>
      </c>
      <c r="C249" s="34">
        <v>2026</v>
      </c>
      <c r="D249" s="33" t="s">
        <v>1513</v>
      </c>
      <c r="E249" s="34" t="s">
        <v>483</v>
      </c>
      <c r="F249" s="34" t="s">
        <v>1276</v>
      </c>
      <c r="G249" s="34" t="s">
        <v>481</v>
      </c>
      <c r="H249" s="33" t="s">
        <v>2316</v>
      </c>
      <c r="I249" s="33" t="s">
        <v>2315</v>
      </c>
      <c r="J249" s="32" t="s">
        <v>479</v>
      </c>
    </row>
    <row r="250" spans="1:10" ht="15.75" customHeight="1" x14ac:dyDescent="0.3">
      <c r="A250" s="36" t="s">
        <v>2314</v>
      </c>
      <c r="B250" s="35" t="s">
        <v>2313</v>
      </c>
      <c r="C250" s="36">
        <v>2020</v>
      </c>
      <c r="D250" s="35" t="s">
        <v>2088</v>
      </c>
      <c r="E250" s="36" t="s">
        <v>483</v>
      </c>
      <c r="F250" s="36" t="s">
        <v>1276</v>
      </c>
      <c r="G250" s="36" t="s">
        <v>481</v>
      </c>
      <c r="H250" s="35" t="s">
        <v>2312</v>
      </c>
      <c r="I250" s="35" t="s">
        <v>2311</v>
      </c>
      <c r="J250" s="32" t="s">
        <v>479</v>
      </c>
    </row>
    <row r="251" spans="1:10" ht="15.75" customHeight="1" x14ac:dyDescent="0.3">
      <c r="A251" s="34" t="s">
        <v>2310</v>
      </c>
      <c r="B251" s="33" t="s">
        <v>2309</v>
      </c>
      <c r="C251" s="34">
        <v>2025</v>
      </c>
      <c r="D251" s="33" t="s">
        <v>2308</v>
      </c>
      <c r="E251" s="34" t="s">
        <v>1277</v>
      </c>
      <c r="F251" s="34" t="s">
        <v>1276</v>
      </c>
      <c r="G251" s="34" t="s">
        <v>481</v>
      </c>
      <c r="H251" s="33" t="s">
        <v>2307</v>
      </c>
      <c r="I251" s="33" t="s">
        <v>2306</v>
      </c>
      <c r="J251" s="32" t="s">
        <v>479</v>
      </c>
    </row>
    <row r="252" spans="1:10" ht="15.75" customHeight="1" x14ac:dyDescent="0.3">
      <c r="A252" s="36" t="s">
        <v>2305</v>
      </c>
      <c r="B252" s="35" t="s">
        <v>2304</v>
      </c>
      <c r="C252" s="36">
        <v>2025</v>
      </c>
      <c r="D252" s="35" t="s">
        <v>2303</v>
      </c>
      <c r="E252" s="36" t="s">
        <v>1277</v>
      </c>
      <c r="F252" s="36" t="s">
        <v>1276</v>
      </c>
      <c r="G252" s="36" t="s">
        <v>481</v>
      </c>
      <c r="H252" s="35" t="s">
        <v>2302</v>
      </c>
      <c r="I252" s="35" t="s">
        <v>2301</v>
      </c>
      <c r="J252" s="32" t="s">
        <v>479</v>
      </c>
    </row>
    <row r="253" spans="1:10" ht="15.75" customHeight="1" x14ac:dyDescent="0.3">
      <c r="A253" s="34" t="s">
        <v>2300</v>
      </c>
      <c r="B253" s="33" t="s">
        <v>2299</v>
      </c>
      <c r="C253" s="34">
        <v>2014</v>
      </c>
      <c r="D253" s="33" t="s">
        <v>2298</v>
      </c>
      <c r="E253" s="34" t="s">
        <v>1277</v>
      </c>
      <c r="F253" s="34" t="s">
        <v>1276</v>
      </c>
      <c r="G253" s="34" t="s">
        <v>481</v>
      </c>
      <c r="H253" s="33" t="s">
        <v>2297</v>
      </c>
      <c r="I253" s="33" t="s">
        <v>2296</v>
      </c>
      <c r="J253" s="32" t="s">
        <v>479</v>
      </c>
    </row>
    <row r="254" spans="1:10" ht="15.75" customHeight="1" x14ac:dyDescent="0.3">
      <c r="A254" s="36" t="s">
        <v>2295</v>
      </c>
      <c r="B254" s="35" t="s">
        <v>2294</v>
      </c>
      <c r="C254" s="36">
        <v>2008</v>
      </c>
      <c r="D254" s="35" t="s">
        <v>2293</v>
      </c>
      <c r="E254" s="36" t="s">
        <v>483</v>
      </c>
      <c r="F254" s="36" t="s">
        <v>1276</v>
      </c>
      <c r="G254" s="36" t="s">
        <v>481</v>
      </c>
      <c r="H254" s="35" t="s">
        <v>2292</v>
      </c>
      <c r="I254" s="35" t="s">
        <v>2291</v>
      </c>
      <c r="J254" s="32" t="s">
        <v>479</v>
      </c>
    </row>
    <row r="255" spans="1:10" ht="15.75" customHeight="1" x14ac:dyDescent="0.3">
      <c r="A255" s="34" t="s">
        <v>2290</v>
      </c>
      <c r="B255" s="33" t="s">
        <v>2289</v>
      </c>
      <c r="C255" s="34">
        <v>2001</v>
      </c>
      <c r="D255" s="33" t="s">
        <v>2288</v>
      </c>
      <c r="E255" s="34" t="s">
        <v>1277</v>
      </c>
      <c r="F255" s="34" t="s">
        <v>1276</v>
      </c>
      <c r="G255" s="34" t="s">
        <v>481</v>
      </c>
      <c r="H255" s="33"/>
      <c r="I255" s="33" t="s">
        <v>2287</v>
      </c>
      <c r="J255" s="32" t="s">
        <v>479</v>
      </c>
    </row>
    <row r="256" spans="1:10" ht="15.75" customHeight="1" x14ac:dyDescent="0.3">
      <c r="A256" s="36" t="s">
        <v>2286</v>
      </c>
      <c r="B256" s="35" t="s">
        <v>637</v>
      </c>
      <c r="C256" s="36">
        <v>2015</v>
      </c>
      <c r="D256" s="35" t="s">
        <v>1673</v>
      </c>
      <c r="E256" s="36" t="s">
        <v>483</v>
      </c>
      <c r="F256" s="36" t="s">
        <v>1276</v>
      </c>
      <c r="G256" s="36" t="s">
        <v>481</v>
      </c>
      <c r="H256" s="35" t="s">
        <v>635</v>
      </c>
      <c r="I256" s="35" t="s">
        <v>2285</v>
      </c>
      <c r="J256" s="32" t="s">
        <v>479</v>
      </c>
    </row>
    <row r="257" spans="1:10" ht="15.75" customHeight="1" x14ac:dyDescent="0.3">
      <c r="A257" s="34" t="s">
        <v>193</v>
      </c>
      <c r="B257" s="33" t="s">
        <v>2284</v>
      </c>
      <c r="C257" s="34">
        <v>2021</v>
      </c>
      <c r="D257" s="33" t="s">
        <v>1783</v>
      </c>
      <c r="E257" s="34" t="s">
        <v>483</v>
      </c>
      <c r="F257" s="34" t="s">
        <v>1276</v>
      </c>
      <c r="G257" s="34" t="s">
        <v>481</v>
      </c>
      <c r="H257" s="33" t="s">
        <v>2283</v>
      </c>
      <c r="I257" s="33" t="s">
        <v>2282</v>
      </c>
      <c r="J257" s="32" t="s">
        <v>479</v>
      </c>
    </row>
    <row r="258" spans="1:10" ht="15.75" customHeight="1" x14ac:dyDescent="0.3">
      <c r="A258" s="36" t="s">
        <v>2281</v>
      </c>
      <c r="B258" s="35" t="s">
        <v>2280</v>
      </c>
      <c r="C258" s="36">
        <v>2019</v>
      </c>
      <c r="D258" s="35" t="s">
        <v>2279</v>
      </c>
      <c r="E258" s="36" t="s">
        <v>483</v>
      </c>
      <c r="F258" s="36" t="s">
        <v>1276</v>
      </c>
      <c r="G258" s="36" t="s">
        <v>481</v>
      </c>
      <c r="H258" s="35" t="s">
        <v>2278</v>
      </c>
      <c r="I258" s="35" t="s">
        <v>2277</v>
      </c>
      <c r="J258" s="32" t="s">
        <v>479</v>
      </c>
    </row>
    <row r="259" spans="1:10" ht="15.75" customHeight="1" x14ac:dyDescent="0.3">
      <c r="A259" s="34" t="s">
        <v>2276</v>
      </c>
      <c r="B259" s="33" t="s">
        <v>2275</v>
      </c>
      <c r="C259" s="34">
        <v>2013</v>
      </c>
      <c r="D259" s="33" t="s">
        <v>2274</v>
      </c>
      <c r="E259" s="34" t="s">
        <v>1277</v>
      </c>
      <c r="F259" s="34" t="s">
        <v>1276</v>
      </c>
      <c r="G259" s="34" t="s">
        <v>481</v>
      </c>
      <c r="H259" s="33" t="s">
        <v>583</v>
      </c>
      <c r="I259" s="33" t="s">
        <v>2273</v>
      </c>
      <c r="J259" s="32" t="s">
        <v>479</v>
      </c>
    </row>
    <row r="260" spans="1:10" ht="15.75" customHeight="1" x14ac:dyDescent="0.3">
      <c r="A260" s="36" t="s">
        <v>2272</v>
      </c>
      <c r="B260" s="35" t="s">
        <v>2271</v>
      </c>
      <c r="C260" s="36">
        <v>2014</v>
      </c>
      <c r="D260" s="35" t="s">
        <v>1317</v>
      </c>
      <c r="E260" s="36" t="s">
        <v>483</v>
      </c>
      <c r="F260" s="36" t="s">
        <v>1276</v>
      </c>
      <c r="G260" s="36" t="s">
        <v>481</v>
      </c>
      <c r="H260" s="35" t="s">
        <v>2270</v>
      </c>
      <c r="I260" s="35" t="s">
        <v>2269</v>
      </c>
      <c r="J260" s="32" t="s">
        <v>479</v>
      </c>
    </row>
    <row r="261" spans="1:10" ht="15.75" customHeight="1" x14ac:dyDescent="0.3">
      <c r="A261" s="34" t="s">
        <v>2268</v>
      </c>
      <c r="B261" s="33" t="s">
        <v>1202</v>
      </c>
      <c r="C261" s="34">
        <v>2022</v>
      </c>
      <c r="D261" s="33" t="s">
        <v>2267</v>
      </c>
      <c r="E261" s="34" t="s">
        <v>1277</v>
      </c>
      <c r="F261" s="34" t="s">
        <v>1276</v>
      </c>
      <c r="G261" s="34" t="s">
        <v>481</v>
      </c>
      <c r="H261" s="33" t="s">
        <v>1200</v>
      </c>
      <c r="I261" s="33" t="s">
        <v>2266</v>
      </c>
      <c r="J261" s="32" t="s">
        <v>479</v>
      </c>
    </row>
    <row r="262" spans="1:10" ht="15.75" customHeight="1" x14ac:dyDescent="0.3">
      <c r="A262" s="36" t="s">
        <v>2265</v>
      </c>
      <c r="B262" s="35" t="s">
        <v>2264</v>
      </c>
      <c r="C262" s="36">
        <v>2023</v>
      </c>
      <c r="D262" s="35" t="s">
        <v>1547</v>
      </c>
      <c r="E262" s="36" t="s">
        <v>1277</v>
      </c>
      <c r="F262" s="36" t="s">
        <v>1276</v>
      </c>
      <c r="G262" s="36" t="s">
        <v>481</v>
      </c>
      <c r="H262" s="35" t="s">
        <v>2263</v>
      </c>
      <c r="I262" s="35" t="s">
        <v>2262</v>
      </c>
      <c r="J262" s="32" t="s">
        <v>479</v>
      </c>
    </row>
    <row r="263" spans="1:10" ht="15.75" customHeight="1" x14ac:dyDescent="0.3">
      <c r="A263" s="34" t="s">
        <v>2261</v>
      </c>
      <c r="B263" s="33" t="s">
        <v>2260</v>
      </c>
      <c r="C263" s="34">
        <v>2013</v>
      </c>
      <c r="D263" s="33" t="s">
        <v>2259</v>
      </c>
      <c r="E263" s="34" t="s">
        <v>483</v>
      </c>
      <c r="F263" s="34" t="s">
        <v>1276</v>
      </c>
      <c r="G263" s="34" t="s">
        <v>1357</v>
      </c>
      <c r="H263" s="33"/>
      <c r="I263" s="33" t="s">
        <v>2258</v>
      </c>
      <c r="J263" s="32" t="s">
        <v>479</v>
      </c>
    </row>
    <row r="264" spans="1:10" ht="15.75" customHeight="1" x14ac:dyDescent="0.3">
      <c r="A264" s="36" t="s">
        <v>2257</v>
      </c>
      <c r="B264" s="35" t="s">
        <v>2256</v>
      </c>
      <c r="C264" s="36">
        <v>2014</v>
      </c>
      <c r="D264" s="35" t="s">
        <v>1358</v>
      </c>
      <c r="E264" s="36" t="s">
        <v>483</v>
      </c>
      <c r="F264" s="36" t="s">
        <v>1276</v>
      </c>
      <c r="G264" s="36" t="s">
        <v>1357</v>
      </c>
      <c r="H264" s="35"/>
      <c r="I264" s="35" t="s">
        <v>2255</v>
      </c>
      <c r="J264" s="32" t="s">
        <v>479</v>
      </c>
    </row>
    <row r="265" spans="1:10" ht="15.75" customHeight="1" x14ac:dyDescent="0.3">
      <c r="A265" s="34" t="s">
        <v>2254</v>
      </c>
      <c r="B265" s="33" t="s">
        <v>2253</v>
      </c>
      <c r="C265" s="34">
        <v>2009</v>
      </c>
      <c r="D265" s="33" t="s">
        <v>2252</v>
      </c>
      <c r="E265" s="34" t="s">
        <v>1277</v>
      </c>
      <c r="F265" s="34" t="s">
        <v>1276</v>
      </c>
      <c r="G265" s="34" t="s">
        <v>481</v>
      </c>
      <c r="H265" s="33"/>
      <c r="I265" s="33" t="s">
        <v>2251</v>
      </c>
      <c r="J265" s="32" t="s">
        <v>479</v>
      </c>
    </row>
    <row r="266" spans="1:10" ht="15.75" customHeight="1" x14ac:dyDescent="0.3">
      <c r="A266" s="36" t="s">
        <v>2250</v>
      </c>
      <c r="B266" s="35" t="s">
        <v>2249</v>
      </c>
      <c r="C266" s="36">
        <v>2018</v>
      </c>
      <c r="D266" s="35" t="s">
        <v>2248</v>
      </c>
      <c r="E266" s="36" t="s">
        <v>483</v>
      </c>
      <c r="F266" s="36" t="s">
        <v>1276</v>
      </c>
      <c r="G266" s="36" t="s">
        <v>481</v>
      </c>
      <c r="H266" s="35" t="s">
        <v>2247</v>
      </c>
      <c r="I266" s="35" t="s">
        <v>2246</v>
      </c>
      <c r="J266" s="32" t="s">
        <v>479</v>
      </c>
    </row>
    <row r="267" spans="1:10" ht="15.75" customHeight="1" x14ac:dyDescent="0.3">
      <c r="A267" s="34" t="s">
        <v>2245</v>
      </c>
      <c r="B267" s="33" t="s">
        <v>2244</v>
      </c>
      <c r="C267" s="34">
        <v>2024</v>
      </c>
      <c r="D267" s="33" t="s">
        <v>1706</v>
      </c>
      <c r="E267" s="34" t="s">
        <v>483</v>
      </c>
      <c r="F267" s="34" t="s">
        <v>1276</v>
      </c>
      <c r="G267" s="34" t="s">
        <v>1357</v>
      </c>
      <c r="H267" s="33"/>
      <c r="I267" s="33" t="s">
        <v>2243</v>
      </c>
      <c r="J267" s="32" t="s">
        <v>479</v>
      </c>
    </row>
    <row r="268" spans="1:10" ht="15.75" customHeight="1" x14ac:dyDescent="0.3">
      <c r="A268" s="36" t="s">
        <v>2242</v>
      </c>
      <c r="B268" s="35" t="s">
        <v>2241</v>
      </c>
      <c r="C268" s="36">
        <v>2015</v>
      </c>
      <c r="D268" s="35" t="s">
        <v>2240</v>
      </c>
      <c r="E268" s="36" t="s">
        <v>1277</v>
      </c>
      <c r="F268" s="36" t="s">
        <v>1276</v>
      </c>
      <c r="G268" s="36" t="s">
        <v>481</v>
      </c>
      <c r="H268" s="35" t="s">
        <v>1116</v>
      </c>
      <c r="I268" s="35" t="s">
        <v>2239</v>
      </c>
      <c r="J268" s="32" t="s">
        <v>479</v>
      </c>
    </row>
    <row r="269" spans="1:10" ht="15.75" customHeight="1" x14ac:dyDescent="0.3">
      <c r="A269" s="34" t="s">
        <v>2238</v>
      </c>
      <c r="B269" s="33" t="s">
        <v>662</v>
      </c>
      <c r="C269" s="34">
        <v>2021</v>
      </c>
      <c r="D269" s="33" t="s">
        <v>2237</v>
      </c>
      <c r="E269" s="34" t="s">
        <v>1277</v>
      </c>
      <c r="F269" s="34" t="s">
        <v>1276</v>
      </c>
      <c r="G269" s="34" t="s">
        <v>481</v>
      </c>
      <c r="H269" s="33" t="s">
        <v>660</v>
      </c>
      <c r="I269" s="33" t="s">
        <v>2236</v>
      </c>
      <c r="J269" s="32" t="s">
        <v>479</v>
      </c>
    </row>
    <row r="270" spans="1:10" ht="15.75" customHeight="1" x14ac:dyDescent="0.3">
      <c r="A270" s="36" t="s">
        <v>2235</v>
      </c>
      <c r="B270" s="35" t="s">
        <v>2234</v>
      </c>
      <c r="C270" s="36">
        <v>2013</v>
      </c>
      <c r="D270" s="35" t="s">
        <v>2233</v>
      </c>
      <c r="E270" s="36" t="s">
        <v>483</v>
      </c>
      <c r="F270" s="36" t="s">
        <v>1276</v>
      </c>
      <c r="G270" s="36" t="s">
        <v>481</v>
      </c>
      <c r="H270" s="35" t="s">
        <v>2232</v>
      </c>
      <c r="I270" s="35" t="s">
        <v>2231</v>
      </c>
      <c r="J270" s="32" t="s">
        <v>479</v>
      </c>
    </row>
    <row r="271" spans="1:10" ht="15.75" customHeight="1" x14ac:dyDescent="0.3">
      <c r="A271" s="34" t="s">
        <v>2230</v>
      </c>
      <c r="B271" s="33" t="s">
        <v>2229</v>
      </c>
      <c r="C271" s="34">
        <v>2012</v>
      </c>
      <c r="D271" s="33" t="s">
        <v>1374</v>
      </c>
      <c r="E271" s="34" t="s">
        <v>483</v>
      </c>
      <c r="F271" s="34" t="s">
        <v>1276</v>
      </c>
      <c r="G271" s="34" t="s">
        <v>481</v>
      </c>
      <c r="H271" s="33"/>
      <c r="I271" s="33" t="s">
        <v>1266</v>
      </c>
      <c r="J271" s="32" t="s">
        <v>479</v>
      </c>
    </row>
    <row r="272" spans="1:10" ht="15.75" customHeight="1" x14ac:dyDescent="0.3">
      <c r="A272" s="36" t="s">
        <v>2228</v>
      </c>
      <c r="B272" s="35" t="s">
        <v>2227</v>
      </c>
      <c r="C272" s="36">
        <v>2010</v>
      </c>
      <c r="D272" s="35" t="s">
        <v>2226</v>
      </c>
      <c r="E272" s="36" t="s">
        <v>1277</v>
      </c>
      <c r="F272" s="36" t="s">
        <v>1276</v>
      </c>
      <c r="G272" s="36" t="s">
        <v>481</v>
      </c>
      <c r="H272" s="35" t="s">
        <v>2225</v>
      </c>
      <c r="I272" s="35" t="s">
        <v>2224</v>
      </c>
      <c r="J272" s="32" t="s">
        <v>479</v>
      </c>
    </row>
    <row r="273" spans="1:10" ht="15.75" customHeight="1" x14ac:dyDescent="0.3">
      <c r="A273" s="34" t="s">
        <v>2223</v>
      </c>
      <c r="B273" s="33" t="s">
        <v>2222</v>
      </c>
      <c r="C273" s="34">
        <v>2019</v>
      </c>
      <c r="D273" s="33" t="s">
        <v>2221</v>
      </c>
      <c r="E273" s="34" t="s">
        <v>1277</v>
      </c>
      <c r="F273" s="34" t="s">
        <v>1276</v>
      </c>
      <c r="G273" s="34" t="s">
        <v>481</v>
      </c>
      <c r="H273" s="33"/>
      <c r="I273" s="33" t="s">
        <v>2220</v>
      </c>
      <c r="J273" s="32" t="s">
        <v>479</v>
      </c>
    </row>
    <row r="274" spans="1:10" ht="15.75" customHeight="1" x14ac:dyDescent="0.3">
      <c r="A274" s="36" t="s">
        <v>340</v>
      </c>
      <c r="B274" s="35" t="s">
        <v>2219</v>
      </c>
      <c r="C274" s="36">
        <v>2021</v>
      </c>
      <c r="D274" s="35" t="s">
        <v>2218</v>
      </c>
      <c r="E274" s="36" t="s">
        <v>483</v>
      </c>
      <c r="F274" s="36" t="s">
        <v>1276</v>
      </c>
      <c r="G274" s="36" t="s">
        <v>481</v>
      </c>
      <c r="H274" s="35" t="s">
        <v>2217</v>
      </c>
      <c r="I274" s="35" t="s">
        <v>2216</v>
      </c>
      <c r="J274" s="32" t="s">
        <v>479</v>
      </c>
    </row>
    <row r="275" spans="1:10" ht="15.75" customHeight="1" x14ac:dyDescent="0.3">
      <c r="A275" s="34" t="s">
        <v>2215</v>
      </c>
      <c r="B275" s="33" t="s">
        <v>2214</v>
      </c>
      <c r="C275" s="34">
        <v>2021</v>
      </c>
      <c r="D275" s="33" t="s">
        <v>2213</v>
      </c>
      <c r="E275" s="34" t="s">
        <v>1277</v>
      </c>
      <c r="F275" s="34" t="s">
        <v>1276</v>
      </c>
      <c r="G275" s="34" t="s">
        <v>481</v>
      </c>
      <c r="H275" s="33"/>
      <c r="I275" s="33" t="s">
        <v>2212</v>
      </c>
      <c r="J275" s="32" t="s">
        <v>479</v>
      </c>
    </row>
    <row r="276" spans="1:10" ht="15.75" customHeight="1" x14ac:dyDescent="0.3">
      <c r="A276" s="36" t="s">
        <v>2211</v>
      </c>
      <c r="B276" s="35" t="s">
        <v>2210</v>
      </c>
      <c r="C276" s="36">
        <v>2006</v>
      </c>
      <c r="D276" s="35" t="s">
        <v>1445</v>
      </c>
      <c r="E276" s="36" t="s">
        <v>483</v>
      </c>
      <c r="F276" s="36" t="s">
        <v>1276</v>
      </c>
      <c r="G276" s="36" t="s">
        <v>1357</v>
      </c>
      <c r="H276" s="35"/>
      <c r="I276" s="35" t="s">
        <v>2209</v>
      </c>
      <c r="J276" s="32" t="s">
        <v>479</v>
      </c>
    </row>
    <row r="277" spans="1:10" ht="15.75" customHeight="1" x14ac:dyDescent="0.3">
      <c r="A277" s="34" t="s">
        <v>2208</v>
      </c>
      <c r="B277" s="33" t="s">
        <v>2207</v>
      </c>
      <c r="C277" s="34">
        <v>2012</v>
      </c>
      <c r="D277" s="33" t="s">
        <v>1587</v>
      </c>
      <c r="E277" s="34" t="s">
        <v>1277</v>
      </c>
      <c r="F277" s="34" t="s">
        <v>1276</v>
      </c>
      <c r="G277" s="34" t="s">
        <v>481</v>
      </c>
      <c r="H277" s="33" t="s">
        <v>922</v>
      </c>
      <c r="I277" s="33" t="s">
        <v>2206</v>
      </c>
      <c r="J277" s="32" t="s">
        <v>479</v>
      </c>
    </row>
    <row r="278" spans="1:10" ht="15.75" customHeight="1" x14ac:dyDescent="0.3">
      <c r="A278" s="36" t="s">
        <v>2205</v>
      </c>
      <c r="B278" s="35" t="s">
        <v>2204</v>
      </c>
      <c r="C278" s="36">
        <v>2002</v>
      </c>
      <c r="D278" s="35" t="s">
        <v>2077</v>
      </c>
      <c r="E278" s="36" t="s">
        <v>483</v>
      </c>
      <c r="F278" s="36" t="s">
        <v>1276</v>
      </c>
      <c r="G278" s="36" t="s">
        <v>481</v>
      </c>
      <c r="H278" s="35" t="s">
        <v>2203</v>
      </c>
      <c r="I278" s="35" t="s">
        <v>2202</v>
      </c>
      <c r="J278" s="32" t="s">
        <v>479</v>
      </c>
    </row>
    <row r="279" spans="1:10" ht="15.75" customHeight="1" x14ac:dyDescent="0.3">
      <c r="A279" s="34" t="s">
        <v>345</v>
      </c>
      <c r="B279" s="33" t="s">
        <v>2201</v>
      </c>
      <c r="C279" s="34">
        <v>2019</v>
      </c>
      <c r="D279" s="33" t="s">
        <v>2200</v>
      </c>
      <c r="E279" s="34" t="s">
        <v>483</v>
      </c>
      <c r="F279" s="34" t="s">
        <v>1276</v>
      </c>
      <c r="G279" s="34" t="s">
        <v>481</v>
      </c>
      <c r="H279" s="33" t="s">
        <v>2199</v>
      </c>
      <c r="I279" s="33" t="s">
        <v>2198</v>
      </c>
      <c r="J279" s="32" t="s">
        <v>479</v>
      </c>
    </row>
    <row r="280" spans="1:10" ht="15.75" customHeight="1" x14ac:dyDescent="0.3">
      <c r="A280" s="36" t="s">
        <v>2197</v>
      </c>
      <c r="B280" s="35" t="s">
        <v>2196</v>
      </c>
      <c r="C280" s="36">
        <v>2022</v>
      </c>
      <c r="D280" s="35" t="s">
        <v>1450</v>
      </c>
      <c r="E280" s="36" t="s">
        <v>483</v>
      </c>
      <c r="F280" s="36" t="s">
        <v>1276</v>
      </c>
      <c r="G280" s="36" t="s">
        <v>481</v>
      </c>
      <c r="H280" s="35" t="s">
        <v>2195</v>
      </c>
      <c r="I280" s="35" t="s">
        <v>2194</v>
      </c>
      <c r="J280" s="32" t="s">
        <v>479</v>
      </c>
    </row>
    <row r="281" spans="1:10" ht="15.75" customHeight="1" x14ac:dyDescent="0.3">
      <c r="A281" s="34" t="s">
        <v>349</v>
      </c>
      <c r="B281" s="33" t="s">
        <v>825</v>
      </c>
      <c r="C281" s="34">
        <v>2023</v>
      </c>
      <c r="D281" s="33" t="s">
        <v>2193</v>
      </c>
      <c r="E281" s="34" t="s">
        <v>483</v>
      </c>
      <c r="F281" s="34" t="s">
        <v>1276</v>
      </c>
      <c r="G281" s="34" t="s">
        <v>481</v>
      </c>
      <c r="H281" s="33" t="s">
        <v>823</v>
      </c>
      <c r="I281" s="33" t="s">
        <v>2192</v>
      </c>
      <c r="J281" s="32" t="s">
        <v>479</v>
      </c>
    </row>
    <row r="282" spans="1:10" ht="15.75" customHeight="1" x14ac:dyDescent="0.3">
      <c r="A282" s="36" t="s">
        <v>2191</v>
      </c>
      <c r="B282" s="35" t="s">
        <v>2190</v>
      </c>
      <c r="C282" s="36">
        <v>2019</v>
      </c>
      <c r="D282" s="35" t="s">
        <v>2189</v>
      </c>
      <c r="E282" s="36" t="s">
        <v>1277</v>
      </c>
      <c r="F282" s="36" t="s">
        <v>1276</v>
      </c>
      <c r="G282" s="36" t="s">
        <v>481</v>
      </c>
      <c r="H282" s="35" t="s">
        <v>2188</v>
      </c>
      <c r="I282" s="35" t="s">
        <v>2187</v>
      </c>
      <c r="J282" s="32" t="s">
        <v>479</v>
      </c>
    </row>
    <row r="283" spans="1:10" ht="15.75" customHeight="1" x14ac:dyDescent="0.3">
      <c r="A283" s="34" t="s">
        <v>2186</v>
      </c>
      <c r="B283" s="33" t="s">
        <v>2185</v>
      </c>
      <c r="C283" s="34">
        <v>2012</v>
      </c>
      <c r="D283" s="33" t="s">
        <v>2184</v>
      </c>
      <c r="E283" s="34" t="s">
        <v>1277</v>
      </c>
      <c r="F283" s="34" t="s">
        <v>1276</v>
      </c>
      <c r="G283" s="34" t="s">
        <v>481</v>
      </c>
      <c r="H283" s="33"/>
      <c r="I283" s="33" t="s">
        <v>869</v>
      </c>
      <c r="J283" s="32" t="s">
        <v>479</v>
      </c>
    </row>
    <row r="284" spans="1:10" ht="15.75" customHeight="1" x14ac:dyDescent="0.3">
      <c r="A284" s="36" t="s">
        <v>354</v>
      </c>
      <c r="B284" s="35" t="s">
        <v>784</v>
      </c>
      <c r="C284" s="36">
        <v>2022</v>
      </c>
      <c r="D284" s="35" t="s">
        <v>1495</v>
      </c>
      <c r="E284" s="36" t="s">
        <v>483</v>
      </c>
      <c r="F284" s="36" t="s">
        <v>1276</v>
      </c>
      <c r="G284" s="36" t="s">
        <v>481</v>
      </c>
      <c r="H284" s="35" t="s">
        <v>782</v>
      </c>
      <c r="I284" s="35" t="s">
        <v>2183</v>
      </c>
      <c r="J284" s="32" t="s">
        <v>479</v>
      </c>
    </row>
    <row r="285" spans="1:10" ht="15.75" customHeight="1" x14ac:dyDescent="0.3">
      <c r="A285" s="34" t="s">
        <v>2182</v>
      </c>
      <c r="B285" s="33" t="s">
        <v>2181</v>
      </c>
      <c r="C285" s="34">
        <v>2016</v>
      </c>
      <c r="D285" s="33" t="s">
        <v>1343</v>
      </c>
      <c r="E285" s="34" t="s">
        <v>1277</v>
      </c>
      <c r="F285" s="34" t="s">
        <v>1276</v>
      </c>
      <c r="G285" s="34" t="s">
        <v>481</v>
      </c>
      <c r="H285" s="33" t="s">
        <v>2180</v>
      </c>
      <c r="I285" s="33" t="s">
        <v>2179</v>
      </c>
      <c r="J285" s="32" t="s">
        <v>479</v>
      </c>
    </row>
    <row r="286" spans="1:10" ht="15.75" customHeight="1" x14ac:dyDescent="0.3">
      <c r="A286" s="36" t="s">
        <v>2178</v>
      </c>
      <c r="B286" s="35" t="s">
        <v>2177</v>
      </c>
      <c r="C286" s="36">
        <v>2010</v>
      </c>
      <c r="D286" s="35" t="s">
        <v>2176</v>
      </c>
      <c r="E286" s="36" t="s">
        <v>1416</v>
      </c>
      <c r="F286" s="36" t="s">
        <v>1276</v>
      </c>
      <c r="G286" s="36" t="s">
        <v>481</v>
      </c>
      <c r="H286" s="35" t="s">
        <v>2175</v>
      </c>
      <c r="I286" s="35" t="s">
        <v>2174</v>
      </c>
      <c r="J286" s="32" t="s">
        <v>479</v>
      </c>
    </row>
    <row r="287" spans="1:10" ht="15.75" customHeight="1" x14ac:dyDescent="0.3">
      <c r="A287" s="34" t="s">
        <v>2173</v>
      </c>
      <c r="B287" s="33" t="s">
        <v>2172</v>
      </c>
      <c r="C287" s="34">
        <v>2025</v>
      </c>
      <c r="D287" s="33" t="s">
        <v>1706</v>
      </c>
      <c r="E287" s="34" t="s">
        <v>483</v>
      </c>
      <c r="F287" s="34" t="s">
        <v>1276</v>
      </c>
      <c r="G287" s="34" t="s">
        <v>1357</v>
      </c>
      <c r="H287" s="33"/>
      <c r="I287" s="33" t="s">
        <v>2171</v>
      </c>
      <c r="J287" s="32" t="s">
        <v>479</v>
      </c>
    </row>
    <row r="288" spans="1:10" ht="15.75" customHeight="1" x14ac:dyDescent="0.3">
      <c r="A288" s="36" t="s">
        <v>357</v>
      </c>
      <c r="B288" s="35" t="s">
        <v>2170</v>
      </c>
      <c r="C288" s="36">
        <v>2020</v>
      </c>
      <c r="D288" s="35" t="s">
        <v>1386</v>
      </c>
      <c r="E288" s="36" t="s">
        <v>483</v>
      </c>
      <c r="F288" s="36" t="s">
        <v>1276</v>
      </c>
      <c r="G288" s="36" t="s">
        <v>481</v>
      </c>
      <c r="H288" s="35" t="s">
        <v>2169</v>
      </c>
      <c r="I288" s="35" t="s">
        <v>2168</v>
      </c>
      <c r="J288" s="32" t="s">
        <v>479</v>
      </c>
    </row>
    <row r="289" spans="1:10" ht="15.75" customHeight="1" x14ac:dyDescent="0.3">
      <c r="A289" s="34" t="s">
        <v>361</v>
      </c>
      <c r="B289" s="33" t="s">
        <v>2167</v>
      </c>
      <c r="C289" s="34">
        <v>2020</v>
      </c>
      <c r="D289" s="33" t="s">
        <v>2166</v>
      </c>
      <c r="E289" s="34" t="s">
        <v>483</v>
      </c>
      <c r="F289" s="34" t="s">
        <v>1276</v>
      </c>
      <c r="G289" s="34" t="s">
        <v>481</v>
      </c>
      <c r="H289" s="33" t="s">
        <v>2165</v>
      </c>
      <c r="I289" s="33" t="s">
        <v>2164</v>
      </c>
      <c r="J289" s="32" t="s">
        <v>479</v>
      </c>
    </row>
    <row r="290" spans="1:10" ht="15.75" customHeight="1" x14ac:dyDescent="0.3">
      <c r="A290" s="36" t="s">
        <v>366</v>
      </c>
      <c r="B290" s="35" t="s">
        <v>2163</v>
      </c>
      <c r="C290" s="36">
        <v>2025</v>
      </c>
      <c r="D290" s="35" t="s">
        <v>2162</v>
      </c>
      <c r="E290" s="36" t="s">
        <v>483</v>
      </c>
      <c r="F290" s="36" t="s">
        <v>1276</v>
      </c>
      <c r="G290" s="36" t="s">
        <v>481</v>
      </c>
      <c r="H290" s="35" t="s">
        <v>2161</v>
      </c>
      <c r="I290" s="35" t="s">
        <v>2160</v>
      </c>
      <c r="J290" s="32" t="s">
        <v>479</v>
      </c>
    </row>
    <row r="291" spans="1:10" ht="15.75" customHeight="1" x14ac:dyDescent="0.3">
      <c r="A291" s="34" t="s">
        <v>2159</v>
      </c>
      <c r="B291" s="33" t="s">
        <v>2158</v>
      </c>
      <c r="C291" s="34">
        <v>2016</v>
      </c>
      <c r="D291" s="33" t="s">
        <v>1343</v>
      </c>
      <c r="E291" s="34" t="s">
        <v>1277</v>
      </c>
      <c r="F291" s="34" t="s">
        <v>1276</v>
      </c>
      <c r="G291" s="34" t="s">
        <v>481</v>
      </c>
      <c r="H291" s="33" t="s">
        <v>2157</v>
      </c>
      <c r="I291" s="33" t="s">
        <v>2156</v>
      </c>
      <c r="J291" s="32" t="s">
        <v>479</v>
      </c>
    </row>
    <row r="292" spans="1:10" ht="15.75" customHeight="1" x14ac:dyDescent="0.3">
      <c r="A292" s="36" t="s">
        <v>2155</v>
      </c>
      <c r="B292" s="35" t="s">
        <v>2154</v>
      </c>
      <c r="C292" s="36">
        <v>2012</v>
      </c>
      <c r="D292" s="35" t="s">
        <v>2153</v>
      </c>
      <c r="E292" s="36" t="s">
        <v>483</v>
      </c>
      <c r="F292" s="36" t="s">
        <v>1276</v>
      </c>
      <c r="G292" s="36" t="s">
        <v>481</v>
      </c>
      <c r="H292" s="35" t="s">
        <v>2152</v>
      </c>
      <c r="I292" s="35" t="s">
        <v>2151</v>
      </c>
      <c r="J292" s="32" t="s">
        <v>479</v>
      </c>
    </row>
    <row r="293" spans="1:10" ht="15.75" customHeight="1" x14ac:dyDescent="0.3">
      <c r="A293" s="34" t="s">
        <v>371</v>
      </c>
      <c r="B293" s="33" t="s">
        <v>2150</v>
      </c>
      <c r="C293" s="34">
        <v>2023</v>
      </c>
      <c r="D293" s="33" t="s">
        <v>2149</v>
      </c>
      <c r="E293" s="34" t="s">
        <v>483</v>
      </c>
      <c r="F293" s="34" t="s">
        <v>1276</v>
      </c>
      <c r="G293" s="34" t="s">
        <v>481</v>
      </c>
      <c r="H293" s="33" t="s">
        <v>523</v>
      </c>
      <c r="I293" s="33" t="s">
        <v>2148</v>
      </c>
      <c r="J293" s="32" t="s">
        <v>479</v>
      </c>
    </row>
    <row r="294" spans="1:10" ht="15.75" customHeight="1" x14ac:dyDescent="0.3">
      <c r="A294" s="36" t="s">
        <v>2147</v>
      </c>
      <c r="B294" s="35" t="s">
        <v>2146</v>
      </c>
      <c r="C294" s="36">
        <v>2016</v>
      </c>
      <c r="D294" s="35" t="s">
        <v>2145</v>
      </c>
      <c r="E294" s="36" t="s">
        <v>483</v>
      </c>
      <c r="F294" s="36" t="s">
        <v>1276</v>
      </c>
      <c r="G294" s="36" t="s">
        <v>481</v>
      </c>
      <c r="H294" s="35"/>
      <c r="I294" s="35" t="s">
        <v>2144</v>
      </c>
      <c r="J294" s="32" t="s">
        <v>479</v>
      </c>
    </row>
    <row r="295" spans="1:10" ht="15.75" customHeight="1" x14ac:dyDescent="0.3">
      <c r="A295" s="34" t="s">
        <v>2143</v>
      </c>
      <c r="B295" s="33" t="s">
        <v>2142</v>
      </c>
      <c r="C295" s="34">
        <v>2021</v>
      </c>
      <c r="D295" s="33" t="s">
        <v>2141</v>
      </c>
      <c r="E295" s="34" t="s">
        <v>1277</v>
      </c>
      <c r="F295" s="34" t="s">
        <v>1276</v>
      </c>
      <c r="G295" s="34" t="s">
        <v>481</v>
      </c>
      <c r="H295" s="33" t="s">
        <v>2140</v>
      </c>
      <c r="I295" s="33" t="s">
        <v>2139</v>
      </c>
      <c r="J295" s="32" t="s">
        <v>479</v>
      </c>
    </row>
    <row r="296" spans="1:10" ht="15.75" customHeight="1" x14ac:dyDescent="0.3">
      <c r="A296" s="36" t="s">
        <v>375</v>
      </c>
      <c r="B296" s="35" t="s">
        <v>1184</v>
      </c>
      <c r="C296" s="36">
        <v>2025</v>
      </c>
      <c r="D296" s="35" t="s">
        <v>1513</v>
      </c>
      <c r="E296" s="36" t="s">
        <v>483</v>
      </c>
      <c r="F296" s="36" t="s">
        <v>1276</v>
      </c>
      <c r="G296" s="36" t="s">
        <v>481</v>
      </c>
      <c r="H296" s="35" t="s">
        <v>1183</v>
      </c>
      <c r="I296" s="35" t="s">
        <v>2138</v>
      </c>
      <c r="J296" s="32" t="s">
        <v>479</v>
      </c>
    </row>
    <row r="297" spans="1:10" ht="15.75" customHeight="1" x14ac:dyDescent="0.3">
      <c r="A297" s="34" t="s">
        <v>382</v>
      </c>
      <c r="B297" s="33" t="s">
        <v>2137</v>
      </c>
      <c r="C297" s="34">
        <v>2025</v>
      </c>
      <c r="D297" s="33" t="s">
        <v>1987</v>
      </c>
      <c r="E297" s="34" t="s">
        <v>483</v>
      </c>
      <c r="F297" s="34" t="s">
        <v>1276</v>
      </c>
      <c r="G297" s="34" t="s">
        <v>481</v>
      </c>
      <c r="H297" s="33" t="s">
        <v>2136</v>
      </c>
      <c r="I297" s="33" t="s">
        <v>2135</v>
      </c>
      <c r="J297" s="32" t="s">
        <v>479</v>
      </c>
    </row>
    <row r="298" spans="1:10" ht="15.75" customHeight="1" x14ac:dyDescent="0.3">
      <c r="A298" s="36" t="s">
        <v>2134</v>
      </c>
      <c r="B298" s="35" t="s">
        <v>2133</v>
      </c>
      <c r="C298" s="36">
        <v>2020</v>
      </c>
      <c r="D298" s="35" t="s">
        <v>2132</v>
      </c>
      <c r="E298" s="36" t="s">
        <v>1277</v>
      </c>
      <c r="F298" s="36" t="s">
        <v>1276</v>
      </c>
      <c r="G298" s="36" t="s">
        <v>481</v>
      </c>
      <c r="H298" s="35" t="s">
        <v>2131</v>
      </c>
      <c r="I298" s="35" t="s">
        <v>2130</v>
      </c>
      <c r="J298" s="32" t="s">
        <v>479</v>
      </c>
    </row>
    <row r="299" spans="1:10" ht="15.75" customHeight="1" x14ac:dyDescent="0.3">
      <c r="A299" s="34" t="s">
        <v>386</v>
      </c>
      <c r="B299" s="33" t="s">
        <v>2129</v>
      </c>
      <c r="C299" s="34">
        <v>2022</v>
      </c>
      <c r="D299" s="33" t="s">
        <v>2027</v>
      </c>
      <c r="E299" s="34" t="s">
        <v>483</v>
      </c>
      <c r="F299" s="34" t="s">
        <v>1276</v>
      </c>
      <c r="G299" s="34" t="s">
        <v>481</v>
      </c>
      <c r="H299" s="33" t="s">
        <v>2128</v>
      </c>
      <c r="I299" s="33" t="s">
        <v>2127</v>
      </c>
      <c r="J299" s="32" t="s">
        <v>479</v>
      </c>
    </row>
    <row r="300" spans="1:10" ht="15.75" customHeight="1" x14ac:dyDescent="0.3">
      <c r="A300" s="36" t="s">
        <v>2126</v>
      </c>
      <c r="B300" s="35" t="s">
        <v>2125</v>
      </c>
      <c r="C300" s="36">
        <v>2022</v>
      </c>
      <c r="D300" s="35" t="s">
        <v>1547</v>
      </c>
      <c r="E300" s="36" t="s">
        <v>1277</v>
      </c>
      <c r="F300" s="36" t="s">
        <v>1276</v>
      </c>
      <c r="G300" s="36" t="s">
        <v>481</v>
      </c>
      <c r="H300" s="35" t="s">
        <v>2124</v>
      </c>
      <c r="I300" s="35" t="s">
        <v>2123</v>
      </c>
      <c r="J300" s="32" t="s">
        <v>479</v>
      </c>
    </row>
    <row r="301" spans="1:10" ht="15.75" customHeight="1" x14ac:dyDescent="0.3">
      <c r="A301" s="34" t="s">
        <v>2122</v>
      </c>
      <c r="B301" s="33" t="s">
        <v>2121</v>
      </c>
      <c r="C301" s="34">
        <v>2003</v>
      </c>
      <c r="D301" s="33" t="s">
        <v>1426</v>
      </c>
      <c r="E301" s="34" t="s">
        <v>483</v>
      </c>
      <c r="F301" s="34" t="s">
        <v>1276</v>
      </c>
      <c r="G301" s="34" t="s">
        <v>481</v>
      </c>
      <c r="H301" s="33" t="s">
        <v>2120</v>
      </c>
      <c r="I301" s="33" t="s">
        <v>2119</v>
      </c>
      <c r="J301" s="32" t="s">
        <v>479</v>
      </c>
    </row>
    <row r="302" spans="1:10" ht="15.75" customHeight="1" x14ac:dyDescent="0.3">
      <c r="A302" s="36" t="s">
        <v>390</v>
      </c>
      <c r="B302" s="35" t="s">
        <v>2118</v>
      </c>
      <c r="C302" s="36">
        <v>2017</v>
      </c>
      <c r="D302" s="35" t="s">
        <v>1780</v>
      </c>
      <c r="E302" s="36" t="s">
        <v>483</v>
      </c>
      <c r="F302" s="36" t="s">
        <v>1276</v>
      </c>
      <c r="G302" s="36" t="s">
        <v>481</v>
      </c>
      <c r="H302" s="35" t="s">
        <v>2117</v>
      </c>
      <c r="I302" s="35" t="s">
        <v>2116</v>
      </c>
      <c r="J302" s="32" t="s">
        <v>479</v>
      </c>
    </row>
    <row r="303" spans="1:10" ht="15.75" customHeight="1" x14ac:dyDescent="0.3">
      <c r="A303" s="34" t="s">
        <v>394</v>
      </c>
      <c r="B303" s="33" t="s">
        <v>2115</v>
      </c>
      <c r="C303" s="34">
        <v>2023</v>
      </c>
      <c r="D303" s="33" t="s">
        <v>1783</v>
      </c>
      <c r="E303" s="34" t="s">
        <v>483</v>
      </c>
      <c r="F303" s="34" t="s">
        <v>1276</v>
      </c>
      <c r="G303" s="34" t="s">
        <v>481</v>
      </c>
      <c r="H303" s="33" t="s">
        <v>2114</v>
      </c>
      <c r="I303" s="33" t="s">
        <v>2113</v>
      </c>
      <c r="J303" s="32" t="s">
        <v>479</v>
      </c>
    </row>
    <row r="304" spans="1:10" ht="15.75" customHeight="1" x14ac:dyDescent="0.3">
      <c r="A304" s="36" t="s">
        <v>2112</v>
      </c>
      <c r="B304" s="35" t="s">
        <v>2111</v>
      </c>
      <c r="C304" s="36">
        <v>2010</v>
      </c>
      <c r="D304" s="35" t="s">
        <v>2110</v>
      </c>
      <c r="E304" s="36" t="s">
        <v>483</v>
      </c>
      <c r="F304" s="36" t="s">
        <v>1276</v>
      </c>
      <c r="G304" s="36" t="s">
        <v>481</v>
      </c>
      <c r="H304" s="35" t="s">
        <v>2109</v>
      </c>
      <c r="I304" s="35" t="s">
        <v>2108</v>
      </c>
      <c r="J304" s="32" t="s">
        <v>479</v>
      </c>
    </row>
    <row r="305" spans="1:10" ht="15.75" customHeight="1" x14ac:dyDescent="0.3">
      <c r="A305" s="34" t="s">
        <v>2107</v>
      </c>
      <c r="B305" s="33" t="s">
        <v>2106</v>
      </c>
      <c r="C305" s="34">
        <v>2006</v>
      </c>
      <c r="D305" s="33" t="s">
        <v>1322</v>
      </c>
      <c r="E305" s="34" t="s">
        <v>483</v>
      </c>
      <c r="F305" s="34" t="s">
        <v>1276</v>
      </c>
      <c r="G305" s="34" t="s">
        <v>481</v>
      </c>
      <c r="H305" s="33" t="s">
        <v>2105</v>
      </c>
      <c r="I305" s="33" t="s">
        <v>2104</v>
      </c>
      <c r="J305" s="32" t="s">
        <v>479</v>
      </c>
    </row>
    <row r="306" spans="1:10" ht="15.75" customHeight="1" x14ac:dyDescent="0.3">
      <c r="A306" s="36" t="s">
        <v>398</v>
      </c>
      <c r="B306" s="35" t="s">
        <v>981</v>
      </c>
      <c r="C306" s="36">
        <v>2016</v>
      </c>
      <c r="D306" s="35" t="s">
        <v>2103</v>
      </c>
      <c r="E306" s="36" t="s">
        <v>483</v>
      </c>
      <c r="F306" s="36" t="s">
        <v>1276</v>
      </c>
      <c r="G306" s="36" t="s">
        <v>481</v>
      </c>
      <c r="H306" s="35" t="s">
        <v>979</v>
      </c>
      <c r="I306" s="35" t="s">
        <v>2102</v>
      </c>
      <c r="J306" s="32" t="s">
        <v>479</v>
      </c>
    </row>
    <row r="307" spans="1:10" ht="15.75" customHeight="1" x14ac:dyDescent="0.3">
      <c r="A307" s="34" t="s">
        <v>2101</v>
      </c>
      <c r="B307" s="33" t="s">
        <v>2100</v>
      </c>
      <c r="C307" s="34">
        <v>2015</v>
      </c>
      <c r="D307" s="33" t="s">
        <v>2099</v>
      </c>
      <c r="E307" s="34" t="s">
        <v>483</v>
      </c>
      <c r="F307" s="34" t="s">
        <v>1276</v>
      </c>
      <c r="G307" s="34" t="s">
        <v>481</v>
      </c>
      <c r="H307" s="33" t="s">
        <v>2098</v>
      </c>
      <c r="I307" s="33" t="s">
        <v>2097</v>
      </c>
      <c r="J307" s="32" t="s">
        <v>479</v>
      </c>
    </row>
    <row r="308" spans="1:10" ht="15.75" customHeight="1" x14ac:dyDescent="0.3">
      <c r="A308" s="36" t="s">
        <v>2096</v>
      </c>
      <c r="B308" s="35" t="s">
        <v>2095</v>
      </c>
      <c r="C308" s="36">
        <v>2014</v>
      </c>
      <c r="D308" s="35" t="s">
        <v>2094</v>
      </c>
      <c r="E308" s="36" t="s">
        <v>483</v>
      </c>
      <c r="F308" s="36" t="s">
        <v>1276</v>
      </c>
      <c r="G308" s="36" t="s">
        <v>481</v>
      </c>
      <c r="H308" s="35" t="s">
        <v>903</v>
      </c>
      <c r="I308" s="35" t="s">
        <v>902</v>
      </c>
      <c r="J308" s="32" t="s">
        <v>479</v>
      </c>
    </row>
    <row r="309" spans="1:10" ht="15.75" customHeight="1" x14ac:dyDescent="0.3">
      <c r="A309" s="34" t="s">
        <v>402</v>
      </c>
      <c r="B309" s="33" t="s">
        <v>2093</v>
      </c>
      <c r="C309" s="34">
        <v>2025</v>
      </c>
      <c r="D309" s="33" t="s">
        <v>2092</v>
      </c>
      <c r="E309" s="34" t="s">
        <v>483</v>
      </c>
      <c r="F309" s="34" t="s">
        <v>1276</v>
      </c>
      <c r="G309" s="34" t="s">
        <v>481</v>
      </c>
      <c r="H309" s="33" t="s">
        <v>2091</v>
      </c>
      <c r="I309" s="33" t="s">
        <v>2090</v>
      </c>
      <c r="J309" s="32" t="s">
        <v>479</v>
      </c>
    </row>
    <row r="310" spans="1:10" ht="15.75" customHeight="1" x14ac:dyDescent="0.3">
      <c r="A310" s="36" t="s">
        <v>410</v>
      </c>
      <c r="B310" s="35" t="s">
        <v>2089</v>
      </c>
      <c r="C310" s="36">
        <v>2025</v>
      </c>
      <c r="D310" s="35" t="s">
        <v>2088</v>
      </c>
      <c r="E310" s="36" t="s">
        <v>483</v>
      </c>
      <c r="F310" s="36" t="s">
        <v>1276</v>
      </c>
      <c r="G310" s="36" t="s">
        <v>481</v>
      </c>
      <c r="H310" s="35" t="s">
        <v>2087</v>
      </c>
      <c r="I310" s="35" t="s">
        <v>2086</v>
      </c>
      <c r="J310" s="32" t="s">
        <v>479</v>
      </c>
    </row>
    <row r="311" spans="1:10" ht="15.75" customHeight="1" x14ac:dyDescent="0.3">
      <c r="A311" s="34" t="s">
        <v>2085</v>
      </c>
      <c r="B311" s="33" t="s">
        <v>697</v>
      </c>
      <c r="C311" s="34">
        <v>2003</v>
      </c>
      <c r="D311" s="33" t="s">
        <v>2084</v>
      </c>
      <c r="E311" s="34" t="s">
        <v>483</v>
      </c>
      <c r="F311" s="34" t="s">
        <v>1276</v>
      </c>
      <c r="G311" s="34" t="s">
        <v>481</v>
      </c>
      <c r="H311" s="33" t="s">
        <v>695</v>
      </c>
      <c r="I311" s="33" t="s">
        <v>694</v>
      </c>
      <c r="J311" s="32" t="s">
        <v>479</v>
      </c>
    </row>
    <row r="312" spans="1:10" ht="15.75" customHeight="1" x14ac:dyDescent="0.3">
      <c r="A312" s="36" t="s">
        <v>2083</v>
      </c>
      <c r="B312" s="35" t="s">
        <v>2082</v>
      </c>
      <c r="C312" s="36">
        <v>2007</v>
      </c>
      <c r="D312" s="35" t="s">
        <v>2081</v>
      </c>
      <c r="E312" s="36" t="s">
        <v>483</v>
      </c>
      <c r="F312" s="36" t="s">
        <v>1276</v>
      </c>
      <c r="G312" s="36" t="s">
        <v>481</v>
      </c>
      <c r="H312" s="35"/>
      <c r="I312" s="35" t="s">
        <v>2080</v>
      </c>
      <c r="J312" s="32" t="s">
        <v>479</v>
      </c>
    </row>
    <row r="313" spans="1:10" ht="15.75" customHeight="1" x14ac:dyDescent="0.3">
      <c r="A313" s="34" t="s">
        <v>2079</v>
      </c>
      <c r="B313" s="33" t="s">
        <v>2078</v>
      </c>
      <c r="C313" s="34">
        <v>2015</v>
      </c>
      <c r="D313" s="33" t="s">
        <v>2077</v>
      </c>
      <c r="E313" s="34" t="s">
        <v>483</v>
      </c>
      <c r="F313" s="34" t="s">
        <v>1276</v>
      </c>
      <c r="G313" s="34" t="s">
        <v>481</v>
      </c>
      <c r="H313" s="33" t="s">
        <v>2076</v>
      </c>
      <c r="I313" s="33" t="s">
        <v>2075</v>
      </c>
      <c r="J313" s="32" t="s">
        <v>479</v>
      </c>
    </row>
    <row r="314" spans="1:10" ht="15.75" customHeight="1" x14ac:dyDescent="0.3">
      <c r="A314" s="36" t="s">
        <v>2074</v>
      </c>
      <c r="B314" s="35" t="s">
        <v>2073</v>
      </c>
      <c r="C314" s="36">
        <v>2018</v>
      </c>
      <c r="D314" s="35" t="s">
        <v>2072</v>
      </c>
      <c r="E314" s="36" t="s">
        <v>1277</v>
      </c>
      <c r="F314" s="36" t="s">
        <v>1276</v>
      </c>
      <c r="G314" s="36" t="s">
        <v>481</v>
      </c>
      <c r="H314" s="35" t="s">
        <v>2071</v>
      </c>
      <c r="I314" s="35" t="s">
        <v>2070</v>
      </c>
      <c r="J314" s="32" t="s">
        <v>479</v>
      </c>
    </row>
    <row r="315" spans="1:10" ht="15.75" customHeight="1" x14ac:dyDescent="0.3">
      <c r="A315" s="34" t="s">
        <v>2069</v>
      </c>
      <c r="B315" s="33" t="s">
        <v>2068</v>
      </c>
      <c r="C315" s="34">
        <v>2017</v>
      </c>
      <c r="D315" s="33" t="s">
        <v>2067</v>
      </c>
      <c r="E315" s="34" t="s">
        <v>1277</v>
      </c>
      <c r="F315" s="34" t="s">
        <v>1276</v>
      </c>
      <c r="G315" s="34" t="s">
        <v>481</v>
      </c>
      <c r="H315" s="33" t="s">
        <v>2066</v>
      </c>
      <c r="I315" s="33" t="s">
        <v>2065</v>
      </c>
      <c r="J315" s="32" t="s">
        <v>479</v>
      </c>
    </row>
    <row r="316" spans="1:10" ht="15.75" customHeight="1" x14ac:dyDescent="0.3">
      <c r="A316" s="36" t="s">
        <v>414</v>
      </c>
      <c r="B316" s="35" t="s">
        <v>2064</v>
      </c>
      <c r="C316" s="36">
        <v>2025</v>
      </c>
      <c r="D316" s="35" t="s">
        <v>2063</v>
      </c>
      <c r="E316" s="36" t="s">
        <v>483</v>
      </c>
      <c r="F316" s="36" t="s">
        <v>1276</v>
      </c>
      <c r="G316" s="36" t="s">
        <v>481</v>
      </c>
      <c r="H316" s="35" t="s">
        <v>2062</v>
      </c>
      <c r="I316" s="35" t="s">
        <v>2061</v>
      </c>
      <c r="J316" s="32" t="s">
        <v>479</v>
      </c>
    </row>
    <row r="317" spans="1:10" ht="15.75" customHeight="1" x14ac:dyDescent="0.3">
      <c r="A317" s="34" t="s">
        <v>416</v>
      </c>
      <c r="B317" s="33" t="s">
        <v>2060</v>
      </c>
      <c r="C317" s="34">
        <v>2019</v>
      </c>
      <c r="D317" s="33" t="s">
        <v>2059</v>
      </c>
      <c r="E317" s="34" t="s">
        <v>483</v>
      </c>
      <c r="F317" s="34" t="s">
        <v>1276</v>
      </c>
      <c r="G317" s="34" t="s">
        <v>481</v>
      </c>
      <c r="H317" s="33" t="s">
        <v>2058</v>
      </c>
      <c r="I317" s="33" t="s">
        <v>2057</v>
      </c>
      <c r="J317" s="32" t="s">
        <v>479</v>
      </c>
    </row>
    <row r="318" spans="1:10" ht="15.75" customHeight="1" x14ac:dyDescent="0.3">
      <c r="A318" s="36" t="s">
        <v>440</v>
      </c>
      <c r="B318" s="35" t="s">
        <v>2056</v>
      </c>
      <c r="C318" s="36">
        <v>2015</v>
      </c>
      <c r="D318" s="35" t="s">
        <v>1438</v>
      </c>
      <c r="E318" s="36" t="s">
        <v>483</v>
      </c>
      <c r="F318" s="36" t="s">
        <v>1276</v>
      </c>
      <c r="G318" s="36" t="s">
        <v>481</v>
      </c>
      <c r="H318" s="35" t="s">
        <v>2055</v>
      </c>
      <c r="I318" s="35" t="s">
        <v>2054</v>
      </c>
      <c r="J318" s="32" t="s">
        <v>479</v>
      </c>
    </row>
    <row r="319" spans="1:10" ht="15.75" customHeight="1" x14ac:dyDescent="0.3">
      <c r="A319" s="34" t="s">
        <v>2053</v>
      </c>
      <c r="B319" s="33" t="s">
        <v>879</v>
      </c>
      <c r="C319" s="34">
        <v>2003</v>
      </c>
      <c r="D319" s="33" t="s">
        <v>2052</v>
      </c>
      <c r="E319" s="34" t="s">
        <v>1277</v>
      </c>
      <c r="F319" s="34" t="s">
        <v>1276</v>
      </c>
      <c r="G319" s="34" t="s">
        <v>481</v>
      </c>
      <c r="H319" s="33" t="s">
        <v>2051</v>
      </c>
      <c r="I319" s="33" t="s">
        <v>2050</v>
      </c>
      <c r="J319" s="32" t="s">
        <v>479</v>
      </c>
    </row>
    <row r="320" spans="1:10" ht="15.75" customHeight="1" x14ac:dyDescent="0.3">
      <c r="A320" s="36" t="s">
        <v>2049</v>
      </c>
      <c r="B320" s="35" t="s">
        <v>2048</v>
      </c>
      <c r="C320" s="36">
        <v>2006</v>
      </c>
      <c r="D320" s="35" t="s">
        <v>2047</v>
      </c>
      <c r="E320" s="36" t="s">
        <v>483</v>
      </c>
      <c r="F320" s="36" t="s">
        <v>1276</v>
      </c>
      <c r="G320" s="36" t="s">
        <v>1357</v>
      </c>
      <c r="H320" s="35"/>
      <c r="I320" s="35" t="s">
        <v>2046</v>
      </c>
      <c r="J320" s="32" t="s">
        <v>479</v>
      </c>
    </row>
    <row r="321" spans="1:10" ht="15.75" customHeight="1" x14ac:dyDescent="0.3">
      <c r="A321" s="34" t="s">
        <v>2045</v>
      </c>
      <c r="B321" s="33" t="s">
        <v>1418</v>
      </c>
      <c r="C321" s="34">
        <v>2006</v>
      </c>
      <c r="D321" s="33" t="s">
        <v>1565</v>
      </c>
      <c r="E321" s="34" t="s">
        <v>483</v>
      </c>
      <c r="F321" s="34" t="s">
        <v>1276</v>
      </c>
      <c r="G321" s="34" t="s">
        <v>481</v>
      </c>
      <c r="H321" s="33" t="s">
        <v>2044</v>
      </c>
      <c r="I321" s="33" t="s">
        <v>2043</v>
      </c>
      <c r="J321" s="32" t="s">
        <v>479</v>
      </c>
    </row>
    <row r="322" spans="1:10" ht="15.75" customHeight="1" x14ac:dyDescent="0.3">
      <c r="A322" s="36" t="s">
        <v>421</v>
      </c>
      <c r="B322" s="35" t="s">
        <v>820</v>
      </c>
      <c r="C322" s="36">
        <v>2023</v>
      </c>
      <c r="D322" s="35" t="s">
        <v>1495</v>
      </c>
      <c r="E322" s="36" t="s">
        <v>483</v>
      </c>
      <c r="F322" s="36" t="s">
        <v>1276</v>
      </c>
      <c r="G322" s="36" t="s">
        <v>481</v>
      </c>
      <c r="H322" s="35" t="s">
        <v>819</v>
      </c>
      <c r="I322" s="35" t="s">
        <v>2042</v>
      </c>
      <c r="J322" s="32" t="s">
        <v>479</v>
      </c>
    </row>
    <row r="323" spans="1:10" ht="15.75" customHeight="1" x14ac:dyDescent="0.3">
      <c r="A323" s="34" t="s">
        <v>2041</v>
      </c>
      <c r="B323" s="33" t="s">
        <v>2040</v>
      </c>
      <c r="C323" s="34">
        <v>2017</v>
      </c>
      <c r="D323" s="33" t="s">
        <v>1956</v>
      </c>
      <c r="E323" s="34" t="s">
        <v>483</v>
      </c>
      <c r="F323" s="34" t="s">
        <v>1276</v>
      </c>
      <c r="G323" s="34" t="s">
        <v>481</v>
      </c>
      <c r="H323" s="33" t="s">
        <v>2039</v>
      </c>
      <c r="I323" s="33" t="s">
        <v>2038</v>
      </c>
      <c r="J323" s="32" t="s">
        <v>479</v>
      </c>
    </row>
    <row r="324" spans="1:10" ht="15.75" customHeight="1" x14ac:dyDescent="0.3">
      <c r="A324" s="36" t="s">
        <v>2037</v>
      </c>
      <c r="B324" s="35" t="s">
        <v>1159</v>
      </c>
      <c r="C324" s="36">
        <v>2017</v>
      </c>
      <c r="D324" s="35" t="s">
        <v>2027</v>
      </c>
      <c r="E324" s="36" t="s">
        <v>483</v>
      </c>
      <c r="F324" s="36" t="s">
        <v>1276</v>
      </c>
      <c r="G324" s="36" t="s">
        <v>481</v>
      </c>
      <c r="H324" s="35" t="s">
        <v>1158</v>
      </c>
      <c r="I324" s="35" t="s">
        <v>2036</v>
      </c>
      <c r="J324" s="32" t="s">
        <v>479</v>
      </c>
    </row>
    <row r="325" spans="1:10" ht="15.75" customHeight="1" x14ac:dyDescent="0.3">
      <c r="A325" s="34" t="s">
        <v>2035</v>
      </c>
      <c r="B325" s="33" t="s">
        <v>2034</v>
      </c>
      <c r="C325" s="34">
        <v>2011</v>
      </c>
      <c r="D325" s="33" t="s">
        <v>2033</v>
      </c>
      <c r="E325" s="34" t="s">
        <v>1277</v>
      </c>
      <c r="F325" s="34" t="s">
        <v>1276</v>
      </c>
      <c r="G325" s="34" t="s">
        <v>481</v>
      </c>
      <c r="H325" s="33"/>
      <c r="I325" s="33" t="s">
        <v>2032</v>
      </c>
      <c r="J325" s="32" t="s">
        <v>479</v>
      </c>
    </row>
    <row r="326" spans="1:10" ht="15.75" customHeight="1" x14ac:dyDescent="0.3">
      <c r="A326" s="36" t="s">
        <v>425</v>
      </c>
      <c r="B326" s="35" t="s">
        <v>2031</v>
      </c>
      <c r="C326" s="36">
        <v>2020</v>
      </c>
      <c r="D326" s="35" t="s">
        <v>1438</v>
      </c>
      <c r="E326" s="36" t="s">
        <v>483</v>
      </c>
      <c r="F326" s="36" t="s">
        <v>1276</v>
      </c>
      <c r="G326" s="36" t="s">
        <v>481</v>
      </c>
      <c r="H326" s="35" t="s">
        <v>2030</v>
      </c>
      <c r="I326" s="35" t="s">
        <v>2029</v>
      </c>
      <c r="J326" s="32" t="s">
        <v>479</v>
      </c>
    </row>
    <row r="327" spans="1:10" ht="15.75" customHeight="1" x14ac:dyDescent="0.3">
      <c r="A327" s="34" t="s">
        <v>2028</v>
      </c>
      <c r="B327" s="33" t="s">
        <v>1197</v>
      </c>
      <c r="C327" s="34">
        <v>2016</v>
      </c>
      <c r="D327" s="33" t="s">
        <v>2027</v>
      </c>
      <c r="E327" s="34" t="s">
        <v>483</v>
      </c>
      <c r="F327" s="34" t="s">
        <v>1276</v>
      </c>
      <c r="G327" s="34" t="s">
        <v>481</v>
      </c>
      <c r="H327" s="33" t="s">
        <v>1196</v>
      </c>
      <c r="I327" s="33" t="s">
        <v>2026</v>
      </c>
      <c r="J327" s="32" t="s">
        <v>479</v>
      </c>
    </row>
    <row r="328" spans="1:10" ht="15.75" customHeight="1" x14ac:dyDescent="0.3">
      <c r="A328" s="36" t="s">
        <v>2025</v>
      </c>
      <c r="B328" s="35" t="s">
        <v>2024</v>
      </c>
      <c r="C328" s="36">
        <v>2008</v>
      </c>
      <c r="D328" s="35" t="s">
        <v>1343</v>
      </c>
      <c r="E328" s="36" t="s">
        <v>1277</v>
      </c>
      <c r="F328" s="36" t="s">
        <v>1276</v>
      </c>
      <c r="G328" s="36" t="s">
        <v>481</v>
      </c>
      <c r="H328" s="35" t="s">
        <v>2023</v>
      </c>
      <c r="I328" s="35" t="s">
        <v>2022</v>
      </c>
      <c r="J328" s="32" t="s">
        <v>479</v>
      </c>
    </row>
    <row r="329" spans="1:10" ht="15.75" customHeight="1" x14ac:dyDescent="0.3">
      <c r="A329" s="34" t="s">
        <v>2021</v>
      </c>
      <c r="B329" s="33" t="s">
        <v>2020</v>
      </c>
      <c r="C329" s="34">
        <v>2011</v>
      </c>
      <c r="D329" s="33" t="s">
        <v>2019</v>
      </c>
      <c r="E329" s="34" t="s">
        <v>1277</v>
      </c>
      <c r="F329" s="34" t="s">
        <v>1276</v>
      </c>
      <c r="G329" s="34" t="s">
        <v>481</v>
      </c>
      <c r="H329" s="33" t="s">
        <v>2018</v>
      </c>
      <c r="I329" s="33" t="s">
        <v>2017</v>
      </c>
      <c r="J329" s="32" t="s">
        <v>479</v>
      </c>
    </row>
    <row r="330" spans="1:10" ht="15.75" customHeight="1" x14ac:dyDescent="0.3">
      <c r="A330" s="36" t="s">
        <v>2016</v>
      </c>
      <c r="B330" s="35" t="s">
        <v>2015</v>
      </c>
      <c r="C330" s="36">
        <v>2018</v>
      </c>
      <c r="D330" s="35" t="s">
        <v>2014</v>
      </c>
      <c r="E330" s="36" t="s">
        <v>1277</v>
      </c>
      <c r="F330" s="36" t="s">
        <v>1276</v>
      </c>
      <c r="G330" s="36" t="s">
        <v>481</v>
      </c>
      <c r="H330" s="35" t="s">
        <v>2013</v>
      </c>
      <c r="I330" s="35" t="s">
        <v>2012</v>
      </c>
      <c r="J330" s="32" t="s">
        <v>479</v>
      </c>
    </row>
    <row r="331" spans="1:10" ht="15.75" customHeight="1" x14ac:dyDescent="0.3">
      <c r="A331" s="34" t="s">
        <v>443</v>
      </c>
      <c r="B331" s="33" t="s">
        <v>529</v>
      </c>
      <c r="C331" s="34">
        <v>2021</v>
      </c>
      <c r="D331" s="33" t="s">
        <v>1862</v>
      </c>
      <c r="E331" s="34" t="s">
        <v>483</v>
      </c>
      <c r="F331" s="34" t="s">
        <v>1276</v>
      </c>
      <c r="G331" s="34" t="s">
        <v>481</v>
      </c>
      <c r="H331" s="33" t="s">
        <v>527</v>
      </c>
      <c r="I331" s="33" t="s">
        <v>2011</v>
      </c>
      <c r="J331" s="32" t="s">
        <v>479</v>
      </c>
    </row>
    <row r="332" spans="1:10" ht="15.75" customHeight="1" x14ac:dyDescent="0.3">
      <c r="A332" s="36" t="s">
        <v>2010</v>
      </c>
      <c r="B332" s="35" t="s">
        <v>2009</v>
      </c>
      <c r="C332" s="36">
        <v>2013</v>
      </c>
      <c r="D332" s="35" t="s">
        <v>2008</v>
      </c>
      <c r="E332" s="36" t="s">
        <v>1277</v>
      </c>
      <c r="F332" s="36" t="s">
        <v>1276</v>
      </c>
      <c r="G332" s="36" t="s">
        <v>481</v>
      </c>
      <c r="H332" s="35" t="s">
        <v>2007</v>
      </c>
      <c r="I332" s="35" t="s">
        <v>2006</v>
      </c>
      <c r="J332" s="32" t="s">
        <v>479</v>
      </c>
    </row>
    <row r="333" spans="1:10" ht="15.75" customHeight="1" x14ac:dyDescent="0.3">
      <c r="A333" s="34" t="s">
        <v>2005</v>
      </c>
      <c r="B333" s="33" t="s">
        <v>2004</v>
      </c>
      <c r="C333" s="34">
        <v>2023</v>
      </c>
      <c r="D333" s="33" t="s">
        <v>1855</v>
      </c>
      <c r="E333" s="34" t="s">
        <v>483</v>
      </c>
      <c r="F333" s="34" t="s">
        <v>1276</v>
      </c>
      <c r="G333" s="34" t="s">
        <v>1357</v>
      </c>
      <c r="H333" s="33" t="s">
        <v>2003</v>
      </c>
      <c r="I333" s="33" t="s">
        <v>2002</v>
      </c>
      <c r="J333" s="32" t="s">
        <v>479</v>
      </c>
    </row>
    <row r="334" spans="1:10" ht="15.75" customHeight="1" x14ac:dyDescent="0.3">
      <c r="A334" s="36" t="s">
        <v>2001</v>
      </c>
      <c r="B334" s="35" t="s">
        <v>2000</v>
      </c>
      <c r="C334" s="36">
        <v>2019</v>
      </c>
      <c r="D334" s="35" t="s">
        <v>1547</v>
      </c>
      <c r="E334" s="36" t="s">
        <v>1277</v>
      </c>
      <c r="F334" s="36" t="s">
        <v>1276</v>
      </c>
      <c r="G334" s="36" t="s">
        <v>481</v>
      </c>
      <c r="H334" s="35" t="s">
        <v>1209</v>
      </c>
      <c r="I334" s="35" t="s">
        <v>1999</v>
      </c>
      <c r="J334" s="32" t="s">
        <v>479</v>
      </c>
    </row>
    <row r="335" spans="1:10" ht="15.75" customHeight="1" x14ac:dyDescent="0.3">
      <c r="A335" s="34" t="s">
        <v>1998</v>
      </c>
      <c r="B335" s="33" t="s">
        <v>1997</v>
      </c>
      <c r="C335" s="34">
        <v>2011</v>
      </c>
      <c r="D335" s="33" t="s">
        <v>1996</v>
      </c>
      <c r="E335" s="34" t="s">
        <v>1277</v>
      </c>
      <c r="F335" s="34" t="s">
        <v>1276</v>
      </c>
      <c r="G335" s="34" t="s">
        <v>481</v>
      </c>
      <c r="H335" s="33" t="s">
        <v>1995</v>
      </c>
      <c r="I335" s="33" t="s">
        <v>1994</v>
      </c>
      <c r="J335" s="32" t="s">
        <v>479</v>
      </c>
    </row>
    <row r="336" spans="1:10" ht="15.75" customHeight="1" x14ac:dyDescent="0.3">
      <c r="A336" s="36" t="s">
        <v>1993</v>
      </c>
      <c r="B336" s="35" t="s">
        <v>1992</v>
      </c>
      <c r="C336" s="36">
        <v>2010</v>
      </c>
      <c r="D336" s="35" t="s">
        <v>1991</v>
      </c>
      <c r="E336" s="36" t="s">
        <v>1277</v>
      </c>
      <c r="F336" s="36" t="s">
        <v>1276</v>
      </c>
      <c r="G336" s="36" t="s">
        <v>481</v>
      </c>
      <c r="H336" s="35"/>
      <c r="I336" s="35" t="s">
        <v>1990</v>
      </c>
      <c r="J336" s="32" t="s">
        <v>479</v>
      </c>
    </row>
    <row r="337" spans="1:10" ht="15.75" customHeight="1" x14ac:dyDescent="0.3">
      <c r="A337" s="34" t="s">
        <v>1989</v>
      </c>
      <c r="B337" s="33" t="s">
        <v>1988</v>
      </c>
      <c r="C337" s="34">
        <v>2009</v>
      </c>
      <c r="D337" s="33" t="s">
        <v>1987</v>
      </c>
      <c r="E337" s="34" t="s">
        <v>483</v>
      </c>
      <c r="F337" s="34" t="s">
        <v>1276</v>
      </c>
      <c r="G337" s="34" t="s">
        <v>481</v>
      </c>
      <c r="H337" s="33" t="s">
        <v>1986</v>
      </c>
      <c r="I337" s="33" t="s">
        <v>1985</v>
      </c>
      <c r="J337" s="32" t="s">
        <v>479</v>
      </c>
    </row>
    <row r="338" spans="1:10" ht="15.75" customHeight="1" x14ac:dyDescent="0.3">
      <c r="A338" s="36" t="s">
        <v>427</v>
      </c>
      <c r="B338" s="35" t="s">
        <v>1984</v>
      </c>
      <c r="C338" s="36">
        <v>2024</v>
      </c>
      <c r="D338" s="35" t="s">
        <v>1783</v>
      </c>
      <c r="E338" s="36" t="s">
        <v>483</v>
      </c>
      <c r="F338" s="36" t="s">
        <v>1276</v>
      </c>
      <c r="G338" s="36" t="s">
        <v>481</v>
      </c>
      <c r="H338" s="35" t="s">
        <v>1983</v>
      </c>
      <c r="I338" s="35" t="s">
        <v>1982</v>
      </c>
      <c r="J338" s="32" t="s">
        <v>479</v>
      </c>
    </row>
    <row r="339" spans="1:10" ht="15.75" customHeight="1" x14ac:dyDescent="0.3">
      <c r="A339" s="34" t="s">
        <v>430</v>
      </c>
      <c r="B339" s="33" t="s">
        <v>1981</v>
      </c>
      <c r="C339" s="34">
        <v>2022</v>
      </c>
      <c r="D339" s="33" t="s">
        <v>1297</v>
      </c>
      <c r="E339" s="34" t="s">
        <v>483</v>
      </c>
      <c r="F339" s="34" t="s">
        <v>1276</v>
      </c>
      <c r="G339" s="34" t="s">
        <v>481</v>
      </c>
      <c r="H339" s="33" t="s">
        <v>1980</v>
      </c>
      <c r="I339" s="33" t="s">
        <v>1979</v>
      </c>
      <c r="J339" s="32" t="s">
        <v>479</v>
      </c>
    </row>
    <row r="340" spans="1:10" ht="15.75" customHeight="1" x14ac:dyDescent="0.3">
      <c r="A340" s="36" t="s">
        <v>1978</v>
      </c>
      <c r="B340" s="35" t="s">
        <v>1977</v>
      </c>
      <c r="C340" s="36">
        <v>2021</v>
      </c>
      <c r="D340" s="35" t="s">
        <v>1976</v>
      </c>
      <c r="E340" s="36" t="s">
        <v>1277</v>
      </c>
      <c r="F340" s="36" t="s">
        <v>1276</v>
      </c>
      <c r="G340" s="36" t="s">
        <v>481</v>
      </c>
      <c r="H340" s="35" t="s">
        <v>1975</v>
      </c>
      <c r="I340" s="35" t="s">
        <v>1974</v>
      </c>
      <c r="J340" s="32" t="s">
        <v>479</v>
      </c>
    </row>
    <row r="341" spans="1:10" ht="15.75" customHeight="1" x14ac:dyDescent="0.3">
      <c r="A341" s="34" t="s">
        <v>1973</v>
      </c>
      <c r="B341" s="33" t="s">
        <v>1972</v>
      </c>
      <c r="C341" s="34">
        <v>2000</v>
      </c>
      <c r="D341" s="33" t="s">
        <v>1971</v>
      </c>
      <c r="E341" s="34" t="s">
        <v>483</v>
      </c>
      <c r="F341" s="34" t="s">
        <v>1276</v>
      </c>
      <c r="G341" s="34" t="s">
        <v>481</v>
      </c>
      <c r="H341" s="33" t="s">
        <v>1970</v>
      </c>
      <c r="I341" s="33" t="s">
        <v>1969</v>
      </c>
      <c r="J341" s="32" t="s">
        <v>479</v>
      </c>
    </row>
    <row r="342" spans="1:10" ht="15.75" customHeight="1" x14ac:dyDescent="0.3">
      <c r="A342" s="36" t="s">
        <v>196</v>
      </c>
      <c r="B342" s="35" t="s">
        <v>867</v>
      </c>
      <c r="C342" s="36">
        <v>2015</v>
      </c>
      <c r="D342" s="35" t="s">
        <v>1525</v>
      </c>
      <c r="E342" s="36" t="s">
        <v>483</v>
      </c>
      <c r="F342" s="36" t="s">
        <v>1276</v>
      </c>
      <c r="G342" s="36" t="s">
        <v>481</v>
      </c>
      <c r="H342" s="35" t="s">
        <v>865</v>
      </c>
      <c r="I342" s="35" t="s">
        <v>1968</v>
      </c>
      <c r="J342" s="32" t="s">
        <v>479</v>
      </c>
    </row>
    <row r="343" spans="1:10" ht="15.75" customHeight="1" x14ac:dyDescent="0.3">
      <c r="A343" s="34" t="s">
        <v>1967</v>
      </c>
      <c r="B343" s="33" t="s">
        <v>1966</v>
      </c>
      <c r="C343" s="34">
        <v>2023</v>
      </c>
      <c r="D343" s="33" t="s">
        <v>1965</v>
      </c>
      <c r="E343" s="34" t="s">
        <v>483</v>
      </c>
      <c r="F343" s="34" t="s">
        <v>1276</v>
      </c>
      <c r="G343" s="34" t="s">
        <v>481</v>
      </c>
      <c r="H343" s="33" t="s">
        <v>1964</v>
      </c>
      <c r="I343" s="33" t="s">
        <v>1963</v>
      </c>
      <c r="J343" s="32" t="s">
        <v>479</v>
      </c>
    </row>
    <row r="344" spans="1:10" ht="15.75" customHeight="1" x14ac:dyDescent="0.3">
      <c r="A344" s="36" t="s">
        <v>1962</v>
      </c>
      <c r="B344" s="35" t="s">
        <v>1961</v>
      </c>
      <c r="C344" s="36">
        <v>2007</v>
      </c>
      <c r="D344" s="35" t="s">
        <v>1960</v>
      </c>
      <c r="E344" s="36" t="s">
        <v>1277</v>
      </c>
      <c r="F344" s="36" t="s">
        <v>1276</v>
      </c>
      <c r="G344" s="36" t="s">
        <v>481</v>
      </c>
      <c r="H344" s="35"/>
      <c r="I344" s="35" t="s">
        <v>1959</v>
      </c>
      <c r="J344" s="32" t="s">
        <v>479</v>
      </c>
    </row>
    <row r="345" spans="1:10" ht="15.75" customHeight="1" x14ac:dyDescent="0.3">
      <c r="A345" s="34" t="s">
        <v>1958</v>
      </c>
      <c r="B345" s="33" t="s">
        <v>1957</v>
      </c>
      <c r="C345" s="34">
        <v>2021</v>
      </c>
      <c r="D345" s="33" t="s">
        <v>1956</v>
      </c>
      <c r="E345" s="34" t="s">
        <v>483</v>
      </c>
      <c r="F345" s="34" t="s">
        <v>1276</v>
      </c>
      <c r="G345" s="34" t="s">
        <v>481</v>
      </c>
      <c r="H345" s="33" t="s">
        <v>1955</v>
      </c>
      <c r="I345" s="33" t="s">
        <v>1954</v>
      </c>
      <c r="J345" s="32" t="s">
        <v>479</v>
      </c>
    </row>
    <row r="346" spans="1:10" ht="15.75" customHeight="1" x14ac:dyDescent="0.3">
      <c r="A346" s="36" t="s">
        <v>1953</v>
      </c>
      <c r="B346" s="35" t="s">
        <v>1952</v>
      </c>
      <c r="C346" s="36">
        <v>2008</v>
      </c>
      <c r="D346" s="35" t="s">
        <v>1951</v>
      </c>
      <c r="E346" s="36" t="s">
        <v>1277</v>
      </c>
      <c r="F346" s="36" t="s">
        <v>1276</v>
      </c>
      <c r="G346" s="36" t="s">
        <v>481</v>
      </c>
      <c r="H346" s="35" t="s">
        <v>974</v>
      </c>
      <c r="I346" s="35" t="s">
        <v>1950</v>
      </c>
      <c r="J346" s="32" t="s">
        <v>479</v>
      </c>
    </row>
    <row r="347" spans="1:10" ht="15.75" customHeight="1" x14ac:dyDescent="0.3">
      <c r="A347" s="34" t="s">
        <v>1949</v>
      </c>
      <c r="B347" s="33" t="s">
        <v>1948</v>
      </c>
      <c r="C347" s="34">
        <v>2021</v>
      </c>
      <c r="D347" s="33" t="s">
        <v>1947</v>
      </c>
      <c r="E347" s="34" t="s">
        <v>1277</v>
      </c>
      <c r="F347" s="34" t="s">
        <v>1276</v>
      </c>
      <c r="G347" s="34" t="s">
        <v>481</v>
      </c>
      <c r="H347" s="33" t="s">
        <v>1946</v>
      </c>
      <c r="I347" s="33" t="s">
        <v>1945</v>
      </c>
      <c r="J347" s="32" t="s">
        <v>479</v>
      </c>
    </row>
    <row r="348" spans="1:10" ht="15.75" customHeight="1" x14ac:dyDescent="0.3">
      <c r="A348" s="36" t="s">
        <v>1944</v>
      </c>
      <c r="B348" s="35" t="s">
        <v>1943</v>
      </c>
      <c r="C348" s="36">
        <v>2010</v>
      </c>
      <c r="D348" s="35" t="s">
        <v>1942</v>
      </c>
      <c r="E348" s="36" t="s">
        <v>1277</v>
      </c>
      <c r="F348" s="36" t="s">
        <v>1276</v>
      </c>
      <c r="G348" s="36" t="s">
        <v>481</v>
      </c>
      <c r="H348" s="35"/>
      <c r="I348" s="35" t="s">
        <v>1941</v>
      </c>
      <c r="J348" s="32" t="s">
        <v>479</v>
      </c>
    </row>
    <row r="349" spans="1:10" ht="15.75" customHeight="1" x14ac:dyDescent="0.3">
      <c r="A349" s="34" t="s">
        <v>1940</v>
      </c>
      <c r="B349" s="33" t="s">
        <v>1939</v>
      </c>
      <c r="C349" s="34">
        <v>2008</v>
      </c>
      <c r="D349" s="33" t="s">
        <v>1938</v>
      </c>
      <c r="E349" s="34" t="s">
        <v>1277</v>
      </c>
      <c r="F349" s="34" t="s">
        <v>1276</v>
      </c>
      <c r="G349" s="34" t="s">
        <v>481</v>
      </c>
      <c r="H349" s="33"/>
      <c r="I349" s="33" t="s">
        <v>1937</v>
      </c>
      <c r="J349" s="32" t="s">
        <v>479</v>
      </c>
    </row>
    <row r="350" spans="1:10" ht="15.75" customHeight="1" x14ac:dyDescent="0.3">
      <c r="A350" s="36" t="s">
        <v>1936</v>
      </c>
      <c r="B350" s="35" t="s">
        <v>1935</v>
      </c>
      <c r="C350" s="36">
        <v>2006</v>
      </c>
      <c r="D350" s="35" t="s">
        <v>1934</v>
      </c>
      <c r="E350" s="36" t="s">
        <v>1277</v>
      </c>
      <c r="F350" s="36" t="s">
        <v>1276</v>
      </c>
      <c r="G350" s="36" t="s">
        <v>481</v>
      </c>
      <c r="H350" s="35" t="s">
        <v>1933</v>
      </c>
      <c r="I350" s="35" t="s">
        <v>1932</v>
      </c>
      <c r="J350" s="32" t="s">
        <v>479</v>
      </c>
    </row>
    <row r="351" spans="1:10" ht="15.75" customHeight="1" x14ac:dyDescent="0.3">
      <c r="A351" s="34" t="s">
        <v>1931</v>
      </c>
      <c r="B351" s="33" t="s">
        <v>1930</v>
      </c>
      <c r="C351" s="34">
        <v>2015</v>
      </c>
      <c r="D351" s="33" t="s">
        <v>1702</v>
      </c>
      <c r="E351" s="34" t="s">
        <v>1277</v>
      </c>
      <c r="F351" s="34" t="s">
        <v>1276</v>
      </c>
      <c r="G351" s="34" t="s">
        <v>481</v>
      </c>
      <c r="H351" s="33" t="s">
        <v>787</v>
      </c>
      <c r="I351" s="33" t="s">
        <v>1929</v>
      </c>
      <c r="J351" s="32" t="s">
        <v>479</v>
      </c>
    </row>
    <row r="352" spans="1:10" ht="15.75" customHeight="1" x14ac:dyDescent="0.3">
      <c r="A352" s="36" t="s">
        <v>1928</v>
      </c>
      <c r="B352" s="35" t="s">
        <v>706</v>
      </c>
      <c r="C352" s="36">
        <v>2019</v>
      </c>
      <c r="D352" s="35" t="s">
        <v>1927</v>
      </c>
      <c r="E352" s="36" t="s">
        <v>1277</v>
      </c>
      <c r="F352" s="36" t="s">
        <v>1276</v>
      </c>
      <c r="G352" s="36" t="s">
        <v>481</v>
      </c>
      <c r="H352" s="35" t="s">
        <v>704</v>
      </c>
      <c r="I352" s="35" t="s">
        <v>1926</v>
      </c>
      <c r="J352" s="32" t="s">
        <v>479</v>
      </c>
    </row>
    <row r="353" spans="1:10" ht="15.75" customHeight="1" x14ac:dyDescent="0.3">
      <c r="A353" s="34" t="s">
        <v>1925</v>
      </c>
      <c r="B353" s="33" t="s">
        <v>1924</v>
      </c>
      <c r="C353" s="34">
        <v>2007</v>
      </c>
      <c r="D353" s="33" t="s">
        <v>1923</v>
      </c>
      <c r="E353" s="34" t="s">
        <v>483</v>
      </c>
      <c r="F353" s="34" t="s">
        <v>1276</v>
      </c>
      <c r="G353" s="34" t="s">
        <v>481</v>
      </c>
      <c r="H353" s="33" t="s">
        <v>1922</v>
      </c>
      <c r="I353" s="33" t="s">
        <v>1921</v>
      </c>
      <c r="J353" s="32" t="s">
        <v>479</v>
      </c>
    </row>
    <row r="354" spans="1:10" ht="15.75" customHeight="1" x14ac:dyDescent="0.3">
      <c r="A354" s="36" t="s">
        <v>198</v>
      </c>
      <c r="B354" s="35" t="s">
        <v>1920</v>
      </c>
      <c r="C354" s="36">
        <v>2025</v>
      </c>
      <c r="D354" s="35" t="s">
        <v>1919</v>
      </c>
      <c r="E354" s="36" t="s">
        <v>483</v>
      </c>
      <c r="F354" s="36" t="s">
        <v>1276</v>
      </c>
      <c r="G354" s="36" t="s">
        <v>481</v>
      </c>
      <c r="H354" s="35" t="s">
        <v>1125</v>
      </c>
      <c r="I354" s="35" t="s">
        <v>1918</v>
      </c>
      <c r="J354" s="32" t="s">
        <v>479</v>
      </c>
    </row>
    <row r="355" spans="1:10" ht="15.75" customHeight="1" x14ac:dyDescent="0.3">
      <c r="A355" s="34" t="s">
        <v>1917</v>
      </c>
      <c r="B355" s="33" t="s">
        <v>1916</v>
      </c>
      <c r="C355" s="34">
        <v>2018</v>
      </c>
      <c r="D355" s="33" t="s">
        <v>1702</v>
      </c>
      <c r="E355" s="34" t="s">
        <v>1277</v>
      </c>
      <c r="F355" s="34" t="s">
        <v>1276</v>
      </c>
      <c r="G355" s="34" t="s">
        <v>481</v>
      </c>
      <c r="H355" s="33" t="s">
        <v>1149</v>
      </c>
      <c r="I355" s="33" t="s">
        <v>1915</v>
      </c>
      <c r="J355" s="32" t="s">
        <v>479</v>
      </c>
    </row>
    <row r="356" spans="1:10" ht="15.75" customHeight="1" x14ac:dyDescent="0.3">
      <c r="A356" s="36" t="s">
        <v>201</v>
      </c>
      <c r="B356" s="35" t="s">
        <v>1914</v>
      </c>
      <c r="C356" s="36">
        <v>2016</v>
      </c>
      <c r="D356" s="35" t="s">
        <v>1913</v>
      </c>
      <c r="E356" s="36" t="s">
        <v>483</v>
      </c>
      <c r="F356" s="36" t="s">
        <v>1276</v>
      </c>
      <c r="G356" s="36" t="s">
        <v>481</v>
      </c>
      <c r="H356" s="35" t="s">
        <v>1912</v>
      </c>
      <c r="I356" s="35" t="s">
        <v>1911</v>
      </c>
      <c r="J356" s="32" t="s">
        <v>479</v>
      </c>
    </row>
    <row r="357" spans="1:10" ht="15.75" customHeight="1" x14ac:dyDescent="0.3">
      <c r="A357" s="34" t="s">
        <v>1910</v>
      </c>
      <c r="B357" s="33" t="s">
        <v>1909</v>
      </c>
      <c r="C357" s="34">
        <v>2008</v>
      </c>
      <c r="D357" s="33" t="s">
        <v>1908</v>
      </c>
      <c r="E357" s="34" t="s">
        <v>1277</v>
      </c>
      <c r="F357" s="34" t="s">
        <v>1276</v>
      </c>
      <c r="G357" s="34" t="s">
        <v>481</v>
      </c>
      <c r="H357" s="33"/>
      <c r="I357" s="33" t="s">
        <v>1907</v>
      </c>
      <c r="J357" s="32" t="s">
        <v>479</v>
      </c>
    </row>
    <row r="358" spans="1:10" ht="15.75" customHeight="1" x14ac:dyDescent="0.3">
      <c r="A358" s="36" t="s">
        <v>1906</v>
      </c>
      <c r="B358" s="35" t="s">
        <v>1905</v>
      </c>
      <c r="C358" s="36">
        <v>1999</v>
      </c>
      <c r="D358" s="35" t="s">
        <v>1904</v>
      </c>
      <c r="E358" s="36" t="s">
        <v>483</v>
      </c>
      <c r="F358" s="36" t="s">
        <v>1276</v>
      </c>
      <c r="G358" s="36" t="s">
        <v>481</v>
      </c>
      <c r="H358" s="35" t="s">
        <v>852</v>
      </c>
      <c r="I358" s="35" t="s">
        <v>1903</v>
      </c>
      <c r="J358" s="32" t="s">
        <v>479</v>
      </c>
    </row>
    <row r="359" spans="1:10" ht="15.75" customHeight="1" x14ac:dyDescent="0.3">
      <c r="A359" s="34" t="s">
        <v>1902</v>
      </c>
      <c r="B359" s="33" t="s">
        <v>1901</v>
      </c>
      <c r="C359" s="34">
        <v>2021</v>
      </c>
      <c r="D359" s="33" t="s">
        <v>1900</v>
      </c>
      <c r="E359" s="34" t="s">
        <v>483</v>
      </c>
      <c r="F359" s="34" t="s">
        <v>1276</v>
      </c>
      <c r="G359" s="34" t="s">
        <v>481</v>
      </c>
      <c r="H359" s="33" t="s">
        <v>1899</v>
      </c>
      <c r="I359" s="33" t="s">
        <v>1898</v>
      </c>
      <c r="J359" s="32" t="s">
        <v>479</v>
      </c>
    </row>
    <row r="360" spans="1:10" ht="15.75" customHeight="1" x14ac:dyDescent="0.3">
      <c r="A360" s="36" t="s">
        <v>1897</v>
      </c>
      <c r="B360" s="35" t="s">
        <v>1896</v>
      </c>
      <c r="C360" s="36">
        <v>2008</v>
      </c>
      <c r="D360" s="35" t="s">
        <v>1895</v>
      </c>
      <c r="E360" s="36" t="s">
        <v>1277</v>
      </c>
      <c r="F360" s="36" t="s">
        <v>1276</v>
      </c>
      <c r="G360" s="36" t="s">
        <v>481</v>
      </c>
      <c r="H360" s="35" t="s">
        <v>1894</v>
      </c>
      <c r="I360" s="35" t="s">
        <v>1893</v>
      </c>
      <c r="J360" s="32" t="s">
        <v>479</v>
      </c>
    </row>
    <row r="361" spans="1:10" ht="15.75" customHeight="1" x14ac:dyDescent="0.3">
      <c r="A361" s="34" t="s">
        <v>1892</v>
      </c>
      <c r="B361" s="33" t="s">
        <v>589</v>
      </c>
      <c r="C361" s="34">
        <v>2005</v>
      </c>
      <c r="D361" s="33" t="s">
        <v>1739</v>
      </c>
      <c r="E361" s="34" t="s">
        <v>1277</v>
      </c>
      <c r="F361" s="34" t="s">
        <v>1276</v>
      </c>
      <c r="G361" s="34" t="s">
        <v>481</v>
      </c>
      <c r="H361" s="33"/>
      <c r="I361" s="33" t="s">
        <v>1891</v>
      </c>
      <c r="J361" s="32" t="s">
        <v>479</v>
      </c>
    </row>
    <row r="362" spans="1:10" ht="15.75" customHeight="1" x14ac:dyDescent="0.3">
      <c r="A362" s="36" t="s">
        <v>1890</v>
      </c>
      <c r="B362" s="35" t="s">
        <v>1219</v>
      </c>
      <c r="C362" s="36">
        <v>2012</v>
      </c>
      <c r="D362" s="35" t="s">
        <v>1438</v>
      </c>
      <c r="E362" s="36" t="s">
        <v>483</v>
      </c>
      <c r="F362" s="36" t="s">
        <v>1276</v>
      </c>
      <c r="G362" s="36" t="s">
        <v>481</v>
      </c>
      <c r="H362" s="35" t="s">
        <v>1218</v>
      </c>
      <c r="I362" s="35" t="s">
        <v>1889</v>
      </c>
      <c r="J362" s="32" t="s">
        <v>479</v>
      </c>
    </row>
    <row r="363" spans="1:10" ht="15.75" customHeight="1" x14ac:dyDescent="0.3">
      <c r="A363" s="34" t="s">
        <v>1888</v>
      </c>
      <c r="B363" s="33" t="s">
        <v>1887</v>
      </c>
      <c r="C363" s="34">
        <v>2019</v>
      </c>
      <c r="D363" s="33" t="s">
        <v>1374</v>
      </c>
      <c r="E363" s="34" t="s">
        <v>1277</v>
      </c>
      <c r="F363" s="34" t="s">
        <v>1276</v>
      </c>
      <c r="G363" s="34" t="s">
        <v>481</v>
      </c>
      <c r="H363" s="33"/>
      <c r="I363" s="33" t="s">
        <v>1886</v>
      </c>
      <c r="J363" s="32" t="s">
        <v>479</v>
      </c>
    </row>
    <row r="364" spans="1:10" ht="15.75" customHeight="1" x14ac:dyDescent="0.3">
      <c r="A364" s="36" t="s">
        <v>1885</v>
      </c>
      <c r="B364" s="35" t="s">
        <v>1884</v>
      </c>
      <c r="C364" s="36">
        <v>2022</v>
      </c>
      <c r="D364" s="35" t="s">
        <v>1883</v>
      </c>
      <c r="E364" s="36" t="s">
        <v>1416</v>
      </c>
      <c r="F364" s="36" t="s">
        <v>1276</v>
      </c>
      <c r="G364" s="36" t="s">
        <v>481</v>
      </c>
      <c r="H364" s="35" t="s">
        <v>1882</v>
      </c>
      <c r="I364" s="35" t="s">
        <v>1881</v>
      </c>
      <c r="J364" s="32" t="s">
        <v>479</v>
      </c>
    </row>
    <row r="365" spans="1:10" ht="15.75" customHeight="1" x14ac:dyDescent="0.3">
      <c r="A365" s="34" t="s">
        <v>1880</v>
      </c>
      <c r="B365" s="33" t="s">
        <v>1879</v>
      </c>
      <c r="C365" s="34">
        <v>2015</v>
      </c>
      <c r="D365" s="33" t="s">
        <v>1374</v>
      </c>
      <c r="E365" s="34" t="s">
        <v>1277</v>
      </c>
      <c r="F365" s="34" t="s">
        <v>1276</v>
      </c>
      <c r="G365" s="34" t="s">
        <v>481</v>
      </c>
      <c r="H365" s="33"/>
      <c r="I365" s="33" t="s">
        <v>1878</v>
      </c>
      <c r="J365" s="32" t="s">
        <v>479</v>
      </c>
    </row>
    <row r="366" spans="1:10" ht="15.75" customHeight="1" x14ac:dyDescent="0.3">
      <c r="A366" s="36" t="s">
        <v>1877</v>
      </c>
      <c r="B366" s="35" t="s">
        <v>1876</v>
      </c>
      <c r="C366" s="36">
        <v>2009</v>
      </c>
      <c r="D366" s="35" t="s">
        <v>1358</v>
      </c>
      <c r="E366" s="36" t="s">
        <v>483</v>
      </c>
      <c r="F366" s="36" t="s">
        <v>1276</v>
      </c>
      <c r="G366" s="36" t="s">
        <v>1357</v>
      </c>
      <c r="H366" s="35"/>
      <c r="I366" s="35" t="s">
        <v>1875</v>
      </c>
      <c r="J366" s="32" t="s">
        <v>479</v>
      </c>
    </row>
    <row r="367" spans="1:10" ht="15.75" customHeight="1" x14ac:dyDescent="0.3">
      <c r="A367" s="34" t="s">
        <v>1874</v>
      </c>
      <c r="B367" s="33" t="s">
        <v>1873</v>
      </c>
      <c r="C367" s="34">
        <v>2012</v>
      </c>
      <c r="D367" s="33" t="s">
        <v>1872</v>
      </c>
      <c r="E367" s="34" t="s">
        <v>483</v>
      </c>
      <c r="F367" s="34" t="s">
        <v>1276</v>
      </c>
      <c r="G367" s="34" t="s">
        <v>481</v>
      </c>
      <c r="H367" s="33" t="s">
        <v>1871</v>
      </c>
      <c r="I367" s="33" t="s">
        <v>1870</v>
      </c>
      <c r="J367" s="32" t="s">
        <v>479</v>
      </c>
    </row>
    <row r="368" spans="1:10" ht="15.75" customHeight="1" x14ac:dyDescent="0.3">
      <c r="A368" s="36" t="s">
        <v>1869</v>
      </c>
      <c r="B368" s="35" t="s">
        <v>1868</v>
      </c>
      <c r="C368" s="36">
        <v>2012</v>
      </c>
      <c r="D368" s="35" t="s">
        <v>1867</v>
      </c>
      <c r="E368" s="36" t="s">
        <v>1277</v>
      </c>
      <c r="F368" s="36" t="s">
        <v>1276</v>
      </c>
      <c r="G368" s="36" t="s">
        <v>481</v>
      </c>
      <c r="H368" s="35"/>
      <c r="I368" s="35" t="s">
        <v>1866</v>
      </c>
      <c r="J368" s="32" t="s">
        <v>479</v>
      </c>
    </row>
    <row r="369" spans="1:10" ht="15.75" customHeight="1" x14ac:dyDescent="0.3">
      <c r="A369" s="34" t="s">
        <v>202</v>
      </c>
      <c r="B369" s="33" t="s">
        <v>1865</v>
      </c>
      <c r="C369" s="34">
        <v>2021</v>
      </c>
      <c r="D369" s="33" t="s">
        <v>1783</v>
      </c>
      <c r="E369" s="34" t="s">
        <v>483</v>
      </c>
      <c r="F369" s="34" t="s">
        <v>1276</v>
      </c>
      <c r="G369" s="34" t="s">
        <v>481</v>
      </c>
      <c r="H369" s="33" t="s">
        <v>1864</v>
      </c>
      <c r="I369" s="33" t="s">
        <v>1863</v>
      </c>
      <c r="J369" s="32" t="s">
        <v>479</v>
      </c>
    </row>
    <row r="370" spans="1:10" ht="15.75" customHeight="1" x14ac:dyDescent="0.3">
      <c r="A370" s="36" t="s">
        <v>203</v>
      </c>
      <c r="B370" s="35" t="s">
        <v>849</v>
      </c>
      <c r="C370" s="36">
        <v>2018</v>
      </c>
      <c r="D370" s="35" t="s">
        <v>1862</v>
      </c>
      <c r="E370" s="36" t="s">
        <v>483</v>
      </c>
      <c r="F370" s="36" t="s">
        <v>1276</v>
      </c>
      <c r="G370" s="36" t="s">
        <v>481</v>
      </c>
      <c r="H370" s="35" t="s">
        <v>848</v>
      </c>
      <c r="I370" s="35" t="s">
        <v>1861</v>
      </c>
      <c r="J370" s="32" t="s">
        <v>479</v>
      </c>
    </row>
    <row r="371" spans="1:10" ht="15.75" customHeight="1" x14ac:dyDescent="0.3">
      <c r="A371" s="34" t="s">
        <v>1860</v>
      </c>
      <c r="B371" s="33" t="s">
        <v>1859</v>
      </c>
      <c r="C371" s="34">
        <v>2009</v>
      </c>
      <c r="D371" s="33" t="s">
        <v>1358</v>
      </c>
      <c r="E371" s="34" t="s">
        <v>483</v>
      </c>
      <c r="F371" s="34" t="s">
        <v>1276</v>
      </c>
      <c r="G371" s="34" t="s">
        <v>1357</v>
      </c>
      <c r="H371" s="33"/>
      <c r="I371" s="33" t="s">
        <v>1858</v>
      </c>
      <c r="J371" s="32" t="s">
        <v>479</v>
      </c>
    </row>
    <row r="372" spans="1:10" ht="15.75" customHeight="1" x14ac:dyDescent="0.3">
      <c r="A372" s="36" t="s">
        <v>1857</v>
      </c>
      <c r="B372" s="35" t="s">
        <v>1856</v>
      </c>
      <c r="C372" s="36">
        <v>2016</v>
      </c>
      <c r="D372" s="35" t="s">
        <v>1855</v>
      </c>
      <c r="E372" s="36" t="s">
        <v>483</v>
      </c>
      <c r="F372" s="36" t="s">
        <v>1276</v>
      </c>
      <c r="G372" s="36" t="s">
        <v>1357</v>
      </c>
      <c r="H372" s="35"/>
      <c r="I372" s="35" t="s">
        <v>1854</v>
      </c>
      <c r="J372" s="32" t="s">
        <v>479</v>
      </c>
    </row>
    <row r="373" spans="1:10" ht="15.75" customHeight="1" x14ac:dyDescent="0.3">
      <c r="A373" s="34" t="s">
        <v>1853</v>
      </c>
      <c r="B373" s="33" t="s">
        <v>1852</v>
      </c>
      <c r="C373" s="34">
        <v>2022</v>
      </c>
      <c r="D373" s="33" t="s">
        <v>1343</v>
      </c>
      <c r="E373" s="34" t="s">
        <v>1277</v>
      </c>
      <c r="F373" s="34" t="s">
        <v>1276</v>
      </c>
      <c r="G373" s="34" t="s">
        <v>481</v>
      </c>
      <c r="H373" s="33" t="s">
        <v>1851</v>
      </c>
      <c r="I373" s="33" t="s">
        <v>1850</v>
      </c>
      <c r="J373" s="32" t="s">
        <v>479</v>
      </c>
    </row>
    <row r="374" spans="1:10" ht="15.75" customHeight="1" x14ac:dyDescent="0.3">
      <c r="A374" s="36" t="s">
        <v>1849</v>
      </c>
      <c r="B374" s="35" t="s">
        <v>1848</v>
      </c>
      <c r="C374" s="36">
        <v>2019</v>
      </c>
      <c r="D374" s="35" t="s">
        <v>1288</v>
      </c>
      <c r="E374" s="36" t="s">
        <v>483</v>
      </c>
      <c r="F374" s="36" t="s">
        <v>1276</v>
      </c>
      <c r="G374" s="36" t="s">
        <v>481</v>
      </c>
      <c r="H374" s="35" t="s">
        <v>1847</v>
      </c>
      <c r="I374" s="35" t="s">
        <v>1846</v>
      </c>
      <c r="J374" s="32" t="s">
        <v>479</v>
      </c>
    </row>
    <row r="375" spans="1:10" ht="15.75" customHeight="1" x14ac:dyDescent="0.3">
      <c r="A375" s="34" t="s">
        <v>1845</v>
      </c>
      <c r="B375" s="33" t="s">
        <v>1844</v>
      </c>
      <c r="C375" s="34">
        <v>2011</v>
      </c>
      <c r="D375" s="33" t="s">
        <v>1843</v>
      </c>
      <c r="E375" s="34" t="s">
        <v>483</v>
      </c>
      <c r="F375" s="34" t="s">
        <v>1276</v>
      </c>
      <c r="G375" s="34" t="s">
        <v>481</v>
      </c>
      <c r="H375" s="33" t="s">
        <v>1842</v>
      </c>
      <c r="I375" s="33" t="s">
        <v>1841</v>
      </c>
      <c r="J375" s="32" t="s">
        <v>479</v>
      </c>
    </row>
    <row r="376" spans="1:10" ht="15.75" customHeight="1" x14ac:dyDescent="0.3">
      <c r="A376" s="36" t="s">
        <v>1840</v>
      </c>
      <c r="B376" s="35" t="s">
        <v>1839</v>
      </c>
      <c r="C376" s="36">
        <v>2013</v>
      </c>
      <c r="D376" s="35" t="s">
        <v>1386</v>
      </c>
      <c r="E376" s="36" t="s">
        <v>483</v>
      </c>
      <c r="F376" s="36" t="s">
        <v>1276</v>
      </c>
      <c r="G376" s="36" t="s">
        <v>481</v>
      </c>
      <c r="H376" s="35" t="s">
        <v>1838</v>
      </c>
      <c r="I376" s="35" t="s">
        <v>1837</v>
      </c>
      <c r="J376" s="32" t="s">
        <v>479</v>
      </c>
    </row>
    <row r="377" spans="1:10" ht="15.75" customHeight="1" x14ac:dyDescent="0.3">
      <c r="A377" s="34" t="s">
        <v>1836</v>
      </c>
      <c r="B377" s="33" t="s">
        <v>1835</v>
      </c>
      <c r="C377" s="34">
        <v>2002</v>
      </c>
      <c r="D377" s="33" t="s">
        <v>1441</v>
      </c>
      <c r="E377" s="34" t="s">
        <v>483</v>
      </c>
      <c r="F377" s="34" t="s">
        <v>1276</v>
      </c>
      <c r="G377" s="34" t="s">
        <v>481</v>
      </c>
      <c r="H377" s="33" t="s">
        <v>1834</v>
      </c>
      <c r="I377" s="33" t="s">
        <v>1833</v>
      </c>
      <c r="J377" s="32" t="s">
        <v>479</v>
      </c>
    </row>
    <row r="378" spans="1:10" ht="15.75" customHeight="1" x14ac:dyDescent="0.3">
      <c r="A378" s="36" t="s">
        <v>1832</v>
      </c>
      <c r="B378" s="35" t="s">
        <v>1831</v>
      </c>
      <c r="C378" s="36">
        <v>2024</v>
      </c>
      <c r="D378" s="35" t="s">
        <v>1830</v>
      </c>
      <c r="E378" s="36" t="s">
        <v>1277</v>
      </c>
      <c r="F378" s="36" t="s">
        <v>1276</v>
      </c>
      <c r="G378" s="36" t="s">
        <v>1829</v>
      </c>
      <c r="H378" s="35" t="s">
        <v>1828</v>
      </c>
      <c r="I378" s="35" t="s">
        <v>1401</v>
      </c>
      <c r="J378" s="32" t="s">
        <v>479</v>
      </c>
    </row>
    <row r="379" spans="1:10" ht="15.75" customHeight="1" x14ac:dyDescent="0.3">
      <c r="A379" s="34" t="s">
        <v>1827</v>
      </c>
      <c r="B379" s="33" t="s">
        <v>1826</v>
      </c>
      <c r="C379" s="34">
        <v>2017</v>
      </c>
      <c r="D379" s="33" t="s">
        <v>1825</v>
      </c>
      <c r="E379" s="34" t="s">
        <v>1277</v>
      </c>
      <c r="F379" s="34" t="s">
        <v>1276</v>
      </c>
      <c r="G379" s="34" t="s">
        <v>481</v>
      </c>
      <c r="H379" s="33" t="s">
        <v>1824</v>
      </c>
      <c r="I379" s="33" t="s">
        <v>1823</v>
      </c>
      <c r="J379" s="32" t="s">
        <v>479</v>
      </c>
    </row>
    <row r="380" spans="1:10" ht="15.75" customHeight="1" x14ac:dyDescent="0.3">
      <c r="A380" s="36" t="s">
        <v>1822</v>
      </c>
      <c r="B380" s="35" t="s">
        <v>1821</v>
      </c>
      <c r="C380" s="36">
        <v>2017</v>
      </c>
      <c r="D380" s="35" t="s">
        <v>1535</v>
      </c>
      <c r="E380" s="36" t="s">
        <v>1277</v>
      </c>
      <c r="F380" s="36" t="s">
        <v>1276</v>
      </c>
      <c r="G380" s="36" t="s">
        <v>481</v>
      </c>
      <c r="H380" s="35" t="s">
        <v>1820</v>
      </c>
      <c r="I380" s="35" t="s">
        <v>1819</v>
      </c>
      <c r="J380" s="32" t="s">
        <v>479</v>
      </c>
    </row>
    <row r="381" spans="1:10" ht="15.75" customHeight="1" x14ac:dyDescent="0.3">
      <c r="A381" s="34" t="s">
        <v>1818</v>
      </c>
      <c r="B381" s="33" t="s">
        <v>1463</v>
      </c>
      <c r="C381" s="34">
        <v>2008</v>
      </c>
      <c r="D381" s="33" t="s">
        <v>1817</v>
      </c>
      <c r="E381" s="34" t="s">
        <v>483</v>
      </c>
      <c r="F381" s="34" t="s">
        <v>1276</v>
      </c>
      <c r="G381" s="34" t="s">
        <v>1357</v>
      </c>
      <c r="H381" s="33"/>
      <c r="I381" s="33" t="s">
        <v>1816</v>
      </c>
      <c r="J381" s="32" t="s">
        <v>479</v>
      </c>
    </row>
    <row r="382" spans="1:10" ht="15.75" customHeight="1" x14ac:dyDescent="0.3">
      <c r="A382" s="36" t="s">
        <v>1815</v>
      </c>
      <c r="B382" s="35" t="s">
        <v>1814</v>
      </c>
      <c r="C382" s="36">
        <v>2009</v>
      </c>
      <c r="D382" s="35" t="s">
        <v>1813</v>
      </c>
      <c r="E382" s="36" t="s">
        <v>483</v>
      </c>
      <c r="F382" s="36" t="s">
        <v>1276</v>
      </c>
      <c r="G382" s="36" t="s">
        <v>481</v>
      </c>
      <c r="H382" s="35"/>
      <c r="I382" s="35" t="s">
        <v>1812</v>
      </c>
      <c r="J382" s="32" t="s">
        <v>479</v>
      </c>
    </row>
    <row r="383" spans="1:10" ht="15.75" customHeight="1" x14ac:dyDescent="0.3">
      <c r="A383" s="34" t="s">
        <v>1811</v>
      </c>
      <c r="B383" s="33" t="s">
        <v>1810</v>
      </c>
      <c r="C383" s="34">
        <v>2006</v>
      </c>
      <c r="D383" s="33" t="s">
        <v>1565</v>
      </c>
      <c r="E383" s="34" t="s">
        <v>483</v>
      </c>
      <c r="F383" s="34" t="s">
        <v>1276</v>
      </c>
      <c r="G383" s="34" t="s">
        <v>481</v>
      </c>
      <c r="H383" s="33" t="s">
        <v>1809</v>
      </c>
      <c r="I383" s="33" t="s">
        <v>1808</v>
      </c>
      <c r="J383" s="32" t="s">
        <v>479</v>
      </c>
    </row>
    <row r="384" spans="1:10" ht="15.75" customHeight="1" x14ac:dyDescent="0.3">
      <c r="A384" s="36" t="s">
        <v>205</v>
      </c>
      <c r="B384" s="35" t="s">
        <v>1807</v>
      </c>
      <c r="C384" s="36">
        <v>2021</v>
      </c>
      <c r="D384" s="35" t="s">
        <v>1806</v>
      </c>
      <c r="E384" s="36" t="s">
        <v>483</v>
      </c>
      <c r="F384" s="36" t="s">
        <v>1276</v>
      </c>
      <c r="G384" s="36" t="s">
        <v>481</v>
      </c>
      <c r="H384" s="35" t="s">
        <v>670</v>
      </c>
      <c r="I384" s="35" t="s">
        <v>1805</v>
      </c>
      <c r="J384" s="32" t="s">
        <v>479</v>
      </c>
    </row>
    <row r="385" spans="1:10" ht="15.75" customHeight="1" x14ac:dyDescent="0.3">
      <c r="A385" s="34" t="s">
        <v>208</v>
      </c>
      <c r="B385" s="33" t="s">
        <v>1804</v>
      </c>
      <c r="C385" s="34">
        <v>2025</v>
      </c>
      <c r="D385" s="33" t="s">
        <v>1532</v>
      </c>
      <c r="E385" s="34" t="s">
        <v>483</v>
      </c>
      <c r="F385" s="34" t="s">
        <v>1276</v>
      </c>
      <c r="G385" s="34" t="s">
        <v>481</v>
      </c>
      <c r="H385" s="33" t="s">
        <v>1803</v>
      </c>
      <c r="I385" s="33" t="s">
        <v>1802</v>
      </c>
      <c r="J385" s="32" t="s">
        <v>479</v>
      </c>
    </row>
    <row r="386" spans="1:10" ht="15.75" customHeight="1" x14ac:dyDescent="0.3">
      <c r="A386" s="36" t="s">
        <v>1801</v>
      </c>
      <c r="B386" s="35" t="s">
        <v>1229</v>
      </c>
      <c r="C386" s="36">
        <v>2011</v>
      </c>
      <c r="D386" s="35" t="s">
        <v>1076</v>
      </c>
      <c r="E386" s="36" t="s">
        <v>483</v>
      </c>
      <c r="F386" s="36" t="s">
        <v>1276</v>
      </c>
      <c r="G386" s="36" t="s">
        <v>481</v>
      </c>
      <c r="H386" s="35" t="s">
        <v>1227</v>
      </c>
      <c r="I386" s="35" t="s">
        <v>1800</v>
      </c>
      <c r="J386" s="32" t="s">
        <v>479</v>
      </c>
    </row>
    <row r="387" spans="1:10" ht="15.75" customHeight="1" x14ac:dyDescent="0.3">
      <c r="A387" s="34" t="s">
        <v>1799</v>
      </c>
      <c r="B387" s="33" t="s">
        <v>1798</v>
      </c>
      <c r="C387" s="34">
        <v>2009</v>
      </c>
      <c r="D387" s="33" t="s">
        <v>1797</v>
      </c>
      <c r="E387" s="34" t="s">
        <v>483</v>
      </c>
      <c r="F387" s="34" t="s">
        <v>1276</v>
      </c>
      <c r="G387" s="34" t="s">
        <v>1357</v>
      </c>
      <c r="H387" s="33"/>
      <c r="I387" s="33" t="s">
        <v>1796</v>
      </c>
      <c r="J387" s="32" t="s">
        <v>479</v>
      </c>
    </row>
    <row r="388" spans="1:10" ht="15.75" customHeight="1" x14ac:dyDescent="0.3">
      <c r="A388" s="36" t="s">
        <v>1795</v>
      </c>
      <c r="B388" s="35" t="s">
        <v>1794</v>
      </c>
      <c r="C388" s="36">
        <v>2023</v>
      </c>
      <c r="D388" s="35" t="s">
        <v>1793</v>
      </c>
      <c r="E388" s="36" t="s">
        <v>1277</v>
      </c>
      <c r="F388" s="36" t="s">
        <v>1276</v>
      </c>
      <c r="G388" s="36" t="s">
        <v>481</v>
      </c>
      <c r="H388" s="35" t="s">
        <v>1792</v>
      </c>
      <c r="I388" s="35" t="s">
        <v>1791</v>
      </c>
      <c r="J388" s="32" t="s">
        <v>479</v>
      </c>
    </row>
    <row r="389" spans="1:10" ht="15.75" customHeight="1" x14ac:dyDescent="0.3">
      <c r="A389" s="34" t="s">
        <v>1790</v>
      </c>
      <c r="B389" s="33" t="s">
        <v>1789</v>
      </c>
      <c r="C389" s="34">
        <v>2017</v>
      </c>
      <c r="D389" s="33" t="s">
        <v>1788</v>
      </c>
      <c r="E389" s="34" t="s">
        <v>483</v>
      </c>
      <c r="F389" s="34" t="s">
        <v>1276</v>
      </c>
      <c r="G389" s="34" t="s">
        <v>481</v>
      </c>
      <c r="H389" s="33" t="s">
        <v>1787</v>
      </c>
      <c r="I389" s="33" t="s">
        <v>1786</v>
      </c>
      <c r="J389" s="32" t="s">
        <v>479</v>
      </c>
    </row>
    <row r="390" spans="1:10" ht="15.75" customHeight="1" x14ac:dyDescent="0.3">
      <c r="A390" s="36" t="s">
        <v>1785</v>
      </c>
      <c r="B390" s="35" t="s">
        <v>1784</v>
      </c>
      <c r="C390" s="36">
        <v>2014</v>
      </c>
      <c r="D390" s="35" t="s">
        <v>1783</v>
      </c>
      <c r="E390" s="36" t="s">
        <v>483</v>
      </c>
      <c r="F390" s="36" t="s">
        <v>1276</v>
      </c>
      <c r="G390" s="36" t="s">
        <v>481</v>
      </c>
      <c r="H390" s="35" t="s">
        <v>1782</v>
      </c>
      <c r="I390" s="35" t="s">
        <v>1781</v>
      </c>
      <c r="J390" s="32" t="s">
        <v>479</v>
      </c>
    </row>
    <row r="391" spans="1:10" ht="15.75" customHeight="1" x14ac:dyDescent="0.3">
      <c r="A391" s="34" t="s">
        <v>209</v>
      </c>
      <c r="B391" s="33" t="s">
        <v>967</v>
      </c>
      <c r="C391" s="34">
        <v>2024</v>
      </c>
      <c r="D391" s="33" t="s">
        <v>1780</v>
      </c>
      <c r="E391" s="34" t="s">
        <v>483</v>
      </c>
      <c r="F391" s="34" t="s">
        <v>1276</v>
      </c>
      <c r="G391" s="34" t="s">
        <v>481</v>
      </c>
      <c r="H391" s="33" t="s">
        <v>965</v>
      </c>
      <c r="I391" s="33" t="s">
        <v>1779</v>
      </c>
      <c r="J391" s="32" t="s">
        <v>479</v>
      </c>
    </row>
    <row r="392" spans="1:10" ht="15.75" customHeight="1" x14ac:dyDescent="0.3">
      <c r="A392" s="36" t="s">
        <v>1778</v>
      </c>
      <c r="B392" s="35" t="s">
        <v>1777</v>
      </c>
      <c r="C392" s="36">
        <v>2023</v>
      </c>
      <c r="D392" s="35" t="s">
        <v>1547</v>
      </c>
      <c r="E392" s="36" t="s">
        <v>1277</v>
      </c>
      <c r="F392" s="36" t="s">
        <v>1276</v>
      </c>
      <c r="G392" s="36" t="s">
        <v>481</v>
      </c>
      <c r="H392" s="35" t="s">
        <v>1776</v>
      </c>
      <c r="I392" s="35" t="s">
        <v>1775</v>
      </c>
      <c r="J392" s="32" t="s">
        <v>479</v>
      </c>
    </row>
    <row r="393" spans="1:10" ht="15.75" customHeight="1" x14ac:dyDescent="0.3">
      <c r="A393" s="34" t="s">
        <v>1774</v>
      </c>
      <c r="B393" s="33" t="s">
        <v>1773</v>
      </c>
      <c r="C393" s="34">
        <v>2008</v>
      </c>
      <c r="D393" s="33" t="s">
        <v>1358</v>
      </c>
      <c r="E393" s="34" t="s">
        <v>483</v>
      </c>
      <c r="F393" s="34" t="s">
        <v>1276</v>
      </c>
      <c r="G393" s="34" t="s">
        <v>1357</v>
      </c>
      <c r="H393" s="33"/>
      <c r="I393" s="33" t="s">
        <v>1772</v>
      </c>
      <c r="J393" s="32" t="s">
        <v>479</v>
      </c>
    </row>
    <row r="394" spans="1:10" ht="15.75" customHeight="1" x14ac:dyDescent="0.3">
      <c r="A394" s="36" t="s">
        <v>1771</v>
      </c>
      <c r="B394" s="35" t="s">
        <v>1770</v>
      </c>
      <c r="C394" s="36">
        <v>2016</v>
      </c>
      <c r="D394" s="35" t="s">
        <v>1769</v>
      </c>
      <c r="E394" s="36" t="s">
        <v>483</v>
      </c>
      <c r="F394" s="36" t="s">
        <v>1276</v>
      </c>
      <c r="G394" s="36" t="s">
        <v>481</v>
      </c>
      <c r="H394" s="35" t="s">
        <v>1768</v>
      </c>
      <c r="I394" s="35" t="s">
        <v>1767</v>
      </c>
      <c r="J394" s="32" t="s">
        <v>479</v>
      </c>
    </row>
    <row r="395" spans="1:10" ht="15.75" customHeight="1" x14ac:dyDescent="0.3">
      <c r="A395" s="34" t="s">
        <v>1766</v>
      </c>
      <c r="B395" s="33" t="s">
        <v>1765</v>
      </c>
      <c r="C395" s="34">
        <v>2014</v>
      </c>
      <c r="D395" s="33" t="s">
        <v>1764</v>
      </c>
      <c r="E395" s="34" t="s">
        <v>1277</v>
      </c>
      <c r="F395" s="34" t="s">
        <v>1276</v>
      </c>
      <c r="G395" s="34" t="s">
        <v>481</v>
      </c>
      <c r="H395" s="33" t="s">
        <v>1763</v>
      </c>
      <c r="I395" s="33" t="s">
        <v>1762</v>
      </c>
      <c r="J395" s="32" t="s">
        <v>479</v>
      </c>
    </row>
    <row r="396" spans="1:10" ht="15.75" customHeight="1" x14ac:dyDescent="0.3">
      <c r="A396" s="36" t="s">
        <v>1761</v>
      </c>
      <c r="B396" s="35" t="s">
        <v>1760</v>
      </c>
      <c r="C396" s="36">
        <v>2012</v>
      </c>
      <c r="D396" s="35" t="s">
        <v>1759</v>
      </c>
      <c r="E396" s="36" t="s">
        <v>483</v>
      </c>
      <c r="F396" s="36" t="s">
        <v>1276</v>
      </c>
      <c r="G396" s="36" t="s">
        <v>481</v>
      </c>
      <c r="H396" s="35" t="s">
        <v>1758</v>
      </c>
      <c r="I396" s="35" t="s">
        <v>1757</v>
      </c>
      <c r="J396" s="32" t="s">
        <v>479</v>
      </c>
    </row>
    <row r="397" spans="1:10" ht="15.75" customHeight="1" x14ac:dyDescent="0.3">
      <c r="A397" s="34" t="s">
        <v>1756</v>
      </c>
      <c r="B397" s="33" t="s">
        <v>1755</v>
      </c>
      <c r="C397" s="34">
        <v>2016</v>
      </c>
      <c r="D397" s="33" t="s">
        <v>1754</v>
      </c>
      <c r="E397" s="34" t="s">
        <v>1277</v>
      </c>
      <c r="F397" s="34" t="s">
        <v>1276</v>
      </c>
      <c r="G397" s="34" t="s">
        <v>481</v>
      </c>
      <c r="H397" s="33" t="s">
        <v>1753</v>
      </c>
      <c r="I397" s="33" t="s">
        <v>1752</v>
      </c>
      <c r="J397" s="32" t="s">
        <v>479</v>
      </c>
    </row>
    <row r="398" spans="1:10" ht="15.75" customHeight="1" x14ac:dyDescent="0.3">
      <c r="A398" s="36" t="s">
        <v>1751</v>
      </c>
      <c r="B398" s="35" t="s">
        <v>1750</v>
      </c>
      <c r="C398" s="36">
        <v>2019</v>
      </c>
      <c r="D398" s="35" t="s">
        <v>1749</v>
      </c>
      <c r="E398" s="36" t="s">
        <v>1277</v>
      </c>
      <c r="F398" s="36" t="s">
        <v>1276</v>
      </c>
      <c r="G398" s="36" t="s">
        <v>481</v>
      </c>
      <c r="H398" s="35" t="s">
        <v>1748</v>
      </c>
      <c r="I398" s="35" t="s">
        <v>1747</v>
      </c>
      <c r="J398" s="32" t="s">
        <v>479</v>
      </c>
    </row>
    <row r="399" spans="1:10" ht="15.75" customHeight="1" x14ac:dyDescent="0.3">
      <c r="A399" s="34" t="s">
        <v>1746</v>
      </c>
      <c r="B399" s="33" t="s">
        <v>1745</v>
      </c>
      <c r="C399" s="34">
        <v>2008</v>
      </c>
      <c r="D399" s="33" t="s">
        <v>1744</v>
      </c>
      <c r="E399" s="34" t="s">
        <v>483</v>
      </c>
      <c r="F399" s="34" t="s">
        <v>1276</v>
      </c>
      <c r="G399" s="34" t="s">
        <v>1357</v>
      </c>
      <c r="H399" s="33"/>
      <c r="I399" s="33" t="s">
        <v>1743</v>
      </c>
      <c r="J399" s="32" t="s">
        <v>479</v>
      </c>
    </row>
    <row r="400" spans="1:10" ht="15.75" customHeight="1" x14ac:dyDescent="0.3">
      <c r="A400" s="36" t="s">
        <v>211</v>
      </c>
      <c r="B400" s="35" t="s">
        <v>731</v>
      </c>
      <c r="C400" s="36">
        <v>2024</v>
      </c>
      <c r="D400" s="35" t="s">
        <v>1742</v>
      </c>
      <c r="E400" s="36" t="s">
        <v>483</v>
      </c>
      <c r="F400" s="36" t="s">
        <v>1276</v>
      </c>
      <c r="G400" s="36" t="s">
        <v>481</v>
      </c>
      <c r="H400" s="35" t="s">
        <v>729</v>
      </c>
      <c r="I400" s="35" t="s">
        <v>1741</v>
      </c>
      <c r="J400" s="32" t="s">
        <v>479</v>
      </c>
    </row>
    <row r="401" spans="1:10" ht="15.75" customHeight="1" x14ac:dyDescent="0.3">
      <c r="A401" s="34" t="s">
        <v>1740</v>
      </c>
      <c r="B401" s="33" t="s">
        <v>1146</v>
      </c>
      <c r="C401" s="34">
        <v>2005</v>
      </c>
      <c r="D401" s="33" t="s">
        <v>1739</v>
      </c>
      <c r="E401" s="34" t="s">
        <v>1277</v>
      </c>
      <c r="F401" s="34" t="s">
        <v>1276</v>
      </c>
      <c r="G401" s="34" t="s">
        <v>481</v>
      </c>
      <c r="H401" s="33"/>
      <c r="I401" s="33" t="s">
        <v>1738</v>
      </c>
      <c r="J401" s="32" t="s">
        <v>479</v>
      </c>
    </row>
    <row r="402" spans="1:10" ht="15.75" customHeight="1" x14ac:dyDescent="0.3">
      <c r="A402" s="36" t="s">
        <v>1737</v>
      </c>
      <c r="B402" s="35" t="s">
        <v>1736</v>
      </c>
      <c r="C402" s="36">
        <v>2019</v>
      </c>
      <c r="D402" s="35" t="s">
        <v>1735</v>
      </c>
      <c r="E402" s="36" t="s">
        <v>1277</v>
      </c>
      <c r="F402" s="36" t="s">
        <v>1276</v>
      </c>
      <c r="G402" s="36" t="s">
        <v>481</v>
      </c>
      <c r="H402" s="35" t="s">
        <v>1734</v>
      </c>
      <c r="I402" s="35" t="s">
        <v>1733</v>
      </c>
      <c r="J402" s="32" t="s">
        <v>479</v>
      </c>
    </row>
    <row r="403" spans="1:10" ht="15.75" customHeight="1" x14ac:dyDescent="0.3">
      <c r="A403" s="34" t="s">
        <v>1732</v>
      </c>
      <c r="B403" s="33" t="s">
        <v>1731</v>
      </c>
      <c r="C403" s="34">
        <v>2013</v>
      </c>
      <c r="D403" s="33" t="s">
        <v>1730</v>
      </c>
      <c r="E403" s="34" t="s">
        <v>1277</v>
      </c>
      <c r="F403" s="34" t="s">
        <v>1276</v>
      </c>
      <c r="G403" s="34" t="s">
        <v>481</v>
      </c>
      <c r="H403" s="33" t="s">
        <v>1729</v>
      </c>
      <c r="I403" s="33" t="s">
        <v>1728</v>
      </c>
      <c r="J403" s="32" t="s">
        <v>479</v>
      </c>
    </row>
    <row r="404" spans="1:10" ht="15.75" customHeight="1" x14ac:dyDescent="0.3">
      <c r="A404" s="36" t="s">
        <v>1727</v>
      </c>
      <c r="B404" s="35" t="s">
        <v>1726</v>
      </c>
      <c r="C404" s="36">
        <v>2018</v>
      </c>
      <c r="D404" s="35" t="s">
        <v>1370</v>
      </c>
      <c r="E404" s="36" t="s">
        <v>1277</v>
      </c>
      <c r="F404" s="36" t="s">
        <v>1276</v>
      </c>
      <c r="G404" s="36" t="s">
        <v>481</v>
      </c>
      <c r="H404" s="35" t="s">
        <v>1725</v>
      </c>
      <c r="I404" s="35" t="s">
        <v>1724</v>
      </c>
      <c r="J404" s="32" t="s">
        <v>479</v>
      </c>
    </row>
    <row r="405" spans="1:10" ht="15.75" customHeight="1" x14ac:dyDescent="0.3">
      <c r="A405" s="34" t="s">
        <v>213</v>
      </c>
      <c r="B405" s="33" t="s">
        <v>953</v>
      </c>
      <c r="C405" s="34">
        <v>2021</v>
      </c>
      <c r="D405" s="33" t="s">
        <v>1723</v>
      </c>
      <c r="E405" s="34" t="s">
        <v>483</v>
      </c>
      <c r="F405" s="34" t="s">
        <v>1276</v>
      </c>
      <c r="G405" s="34" t="s">
        <v>481</v>
      </c>
      <c r="H405" s="33" t="s">
        <v>951</v>
      </c>
      <c r="I405" s="33" t="s">
        <v>1722</v>
      </c>
      <c r="J405" s="32" t="s">
        <v>479</v>
      </c>
    </row>
    <row r="406" spans="1:10" ht="15.75" customHeight="1" x14ac:dyDescent="0.3">
      <c r="A406" s="36" t="s">
        <v>1721</v>
      </c>
      <c r="B406" s="35" t="s">
        <v>1720</v>
      </c>
      <c r="C406" s="36">
        <v>2008</v>
      </c>
      <c r="D406" s="35" t="s">
        <v>1719</v>
      </c>
      <c r="E406" s="36" t="s">
        <v>1277</v>
      </c>
      <c r="F406" s="36" t="s">
        <v>1276</v>
      </c>
      <c r="G406" s="36" t="s">
        <v>481</v>
      </c>
      <c r="H406" s="35" t="s">
        <v>1718</v>
      </c>
      <c r="I406" s="35" t="s">
        <v>1717</v>
      </c>
      <c r="J406" s="32" t="s">
        <v>479</v>
      </c>
    </row>
    <row r="407" spans="1:10" ht="15.75" customHeight="1" x14ac:dyDescent="0.3">
      <c r="A407" s="34" t="s">
        <v>1716</v>
      </c>
      <c r="B407" s="33" t="s">
        <v>1715</v>
      </c>
      <c r="C407" s="34">
        <v>2003</v>
      </c>
      <c r="D407" s="33" t="s">
        <v>1610</v>
      </c>
      <c r="E407" s="34" t="s">
        <v>483</v>
      </c>
      <c r="F407" s="34" t="s">
        <v>1276</v>
      </c>
      <c r="G407" s="34" t="s">
        <v>1609</v>
      </c>
      <c r="H407" s="33"/>
      <c r="I407" s="33" t="s">
        <v>1714</v>
      </c>
      <c r="J407" s="32" t="s">
        <v>479</v>
      </c>
    </row>
    <row r="408" spans="1:10" ht="15.75" customHeight="1" x14ac:dyDescent="0.3">
      <c r="A408" s="36" t="s">
        <v>1713</v>
      </c>
      <c r="B408" s="35" t="s">
        <v>1712</v>
      </c>
      <c r="C408" s="36">
        <v>2024</v>
      </c>
      <c r="D408" s="35" t="s">
        <v>1711</v>
      </c>
      <c r="E408" s="36" t="s">
        <v>1277</v>
      </c>
      <c r="F408" s="36" t="s">
        <v>1276</v>
      </c>
      <c r="G408" s="36" t="s">
        <v>481</v>
      </c>
      <c r="H408" s="35" t="s">
        <v>1710</v>
      </c>
      <c r="I408" s="35" t="s">
        <v>1709</v>
      </c>
      <c r="J408" s="32" t="s">
        <v>479</v>
      </c>
    </row>
    <row r="409" spans="1:10" ht="15.75" customHeight="1" x14ac:dyDescent="0.3">
      <c r="A409" s="34" t="s">
        <v>1708</v>
      </c>
      <c r="B409" s="33" t="s">
        <v>1707</v>
      </c>
      <c r="C409" s="34">
        <v>2021</v>
      </c>
      <c r="D409" s="33" t="s">
        <v>1706</v>
      </c>
      <c r="E409" s="34" t="s">
        <v>483</v>
      </c>
      <c r="F409" s="34" t="s">
        <v>1276</v>
      </c>
      <c r="G409" s="34" t="s">
        <v>1357</v>
      </c>
      <c r="H409" s="33"/>
      <c r="I409" s="33" t="s">
        <v>1705</v>
      </c>
      <c r="J409" s="32" t="s">
        <v>479</v>
      </c>
    </row>
    <row r="410" spans="1:10" ht="15.75" customHeight="1" x14ac:dyDescent="0.3">
      <c r="A410" s="36" t="s">
        <v>1704</v>
      </c>
      <c r="B410" s="35" t="s">
        <v>1703</v>
      </c>
      <c r="C410" s="36">
        <v>2021</v>
      </c>
      <c r="D410" s="35" t="s">
        <v>1702</v>
      </c>
      <c r="E410" s="36" t="s">
        <v>1277</v>
      </c>
      <c r="F410" s="36" t="s">
        <v>1276</v>
      </c>
      <c r="G410" s="36" t="s">
        <v>481</v>
      </c>
      <c r="H410" s="35" t="s">
        <v>1701</v>
      </c>
      <c r="I410" s="35" t="s">
        <v>1700</v>
      </c>
      <c r="J410" s="32" t="s">
        <v>479</v>
      </c>
    </row>
    <row r="411" spans="1:10" ht="15.75" customHeight="1" x14ac:dyDescent="0.3">
      <c r="A411" s="34" t="s">
        <v>1699</v>
      </c>
      <c r="B411" s="33" t="s">
        <v>1698</v>
      </c>
      <c r="C411" s="34">
        <v>2011</v>
      </c>
      <c r="D411" s="33" t="s">
        <v>1445</v>
      </c>
      <c r="E411" s="34" t="s">
        <v>483</v>
      </c>
      <c r="F411" s="34" t="s">
        <v>1276</v>
      </c>
      <c r="G411" s="34" t="s">
        <v>1357</v>
      </c>
      <c r="H411" s="33" t="s">
        <v>1697</v>
      </c>
      <c r="I411" s="33" t="s">
        <v>1696</v>
      </c>
      <c r="J411" s="32" t="s">
        <v>479</v>
      </c>
    </row>
    <row r="412" spans="1:10" ht="15.75" customHeight="1" x14ac:dyDescent="0.3">
      <c r="A412" s="36" t="s">
        <v>1695</v>
      </c>
      <c r="B412" s="35" t="s">
        <v>1694</v>
      </c>
      <c r="C412" s="36">
        <v>2005</v>
      </c>
      <c r="D412" s="35" t="s">
        <v>1693</v>
      </c>
      <c r="E412" s="36" t="s">
        <v>1416</v>
      </c>
      <c r="F412" s="36" t="s">
        <v>1276</v>
      </c>
      <c r="G412" s="36" t="s">
        <v>481</v>
      </c>
      <c r="H412" s="35" t="s">
        <v>1692</v>
      </c>
      <c r="I412" s="35" t="s">
        <v>1691</v>
      </c>
      <c r="J412" s="32" t="s">
        <v>479</v>
      </c>
    </row>
    <row r="413" spans="1:10" ht="15.75" customHeight="1" x14ac:dyDescent="0.3">
      <c r="A413" s="34" t="s">
        <v>1690</v>
      </c>
      <c r="B413" s="33" t="s">
        <v>1689</v>
      </c>
      <c r="C413" s="34">
        <v>2006</v>
      </c>
      <c r="D413" s="33" t="s">
        <v>1688</v>
      </c>
      <c r="E413" s="34" t="s">
        <v>1277</v>
      </c>
      <c r="F413" s="34" t="s">
        <v>1276</v>
      </c>
      <c r="G413" s="34" t="s">
        <v>481</v>
      </c>
      <c r="H413" s="33" t="s">
        <v>1687</v>
      </c>
      <c r="I413" s="33" t="s">
        <v>1686</v>
      </c>
      <c r="J413" s="32" t="s">
        <v>479</v>
      </c>
    </row>
    <row r="414" spans="1:10" ht="15.75" customHeight="1" x14ac:dyDescent="0.3">
      <c r="A414" s="36" t="s">
        <v>215</v>
      </c>
      <c r="B414" s="35" t="s">
        <v>1685</v>
      </c>
      <c r="C414" s="36">
        <v>2025</v>
      </c>
      <c r="D414" s="35" t="s">
        <v>1630</v>
      </c>
      <c r="E414" s="36" t="s">
        <v>483</v>
      </c>
      <c r="F414" s="36" t="s">
        <v>1276</v>
      </c>
      <c r="G414" s="36" t="s">
        <v>481</v>
      </c>
      <c r="H414" s="35" t="s">
        <v>1684</v>
      </c>
      <c r="I414" s="35" t="s">
        <v>1683</v>
      </c>
      <c r="J414" s="32" t="s">
        <v>479</v>
      </c>
    </row>
    <row r="415" spans="1:10" ht="15.75" customHeight="1" x14ac:dyDescent="0.3">
      <c r="A415" s="34" t="s">
        <v>1682</v>
      </c>
      <c r="B415" s="33" t="s">
        <v>1681</v>
      </c>
      <c r="C415" s="34">
        <v>2010</v>
      </c>
      <c r="D415" s="33" t="s">
        <v>1680</v>
      </c>
      <c r="E415" s="34" t="s">
        <v>483</v>
      </c>
      <c r="F415" s="34" t="s">
        <v>1276</v>
      </c>
      <c r="G415" s="34" t="s">
        <v>481</v>
      </c>
      <c r="H415" s="33"/>
      <c r="I415" s="33" t="s">
        <v>1679</v>
      </c>
      <c r="J415" s="32" t="s">
        <v>479</v>
      </c>
    </row>
    <row r="416" spans="1:10" ht="15.75" customHeight="1" x14ac:dyDescent="0.3">
      <c r="A416" s="36" t="s">
        <v>1678</v>
      </c>
      <c r="B416" s="35" t="s">
        <v>1677</v>
      </c>
      <c r="C416" s="36">
        <v>2009</v>
      </c>
      <c r="D416" s="35" t="s">
        <v>1358</v>
      </c>
      <c r="E416" s="36" t="s">
        <v>483</v>
      </c>
      <c r="F416" s="36" t="s">
        <v>1276</v>
      </c>
      <c r="G416" s="36" t="s">
        <v>1357</v>
      </c>
      <c r="H416" s="35"/>
      <c r="I416" s="35" t="s">
        <v>1676</v>
      </c>
      <c r="J416" s="32" t="s">
        <v>479</v>
      </c>
    </row>
    <row r="417" spans="1:10" ht="15.75" customHeight="1" x14ac:dyDescent="0.3">
      <c r="A417" s="34" t="s">
        <v>1675</v>
      </c>
      <c r="B417" s="33" t="s">
        <v>1674</v>
      </c>
      <c r="C417" s="34">
        <v>2004</v>
      </c>
      <c r="D417" s="33" t="s">
        <v>1673</v>
      </c>
      <c r="E417" s="34" t="s">
        <v>483</v>
      </c>
      <c r="F417" s="34" t="s">
        <v>1276</v>
      </c>
      <c r="G417" s="34" t="s">
        <v>481</v>
      </c>
      <c r="H417" s="33" t="s">
        <v>1672</v>
      </c>
      <c r="I417" s="33" t="s">
        <v>1671</v>
      </c>
      <c r="J417" s="32" t="s">
        <v>479</v>
      </c>
    </row>
    <row r="418" spans="1:10" ht="15.75" customHeight="1" x14ac:dyDescent="0.3">
      <c r="A418" s="36" t="s">
        <v>1670</v>
      </c>
      <c r="B418" s="35" t="s">
        <v>1113</v>
      </c>
      <c r="C418" s="36">
        <v>2019</v>
      </c>
      <c r="D418" s="35" t="s">
        <v>1426</v>
      </c>
      <c r="E418" s="36" t="s">
        <v>483</v>
      </c>
      <c r="F418" s="36" t="s">
        <v>1276</v>
      </c>
      <c r="G418" s="36" t="s">
        <v>481</v>
      </c>
      <c r="H418" s="35" t="s">
        <v>1112</v>
      </c>
      <c r="I418" s="35" t="s">
        <v>1669</v>
      </c>
      <c r="J418" s="32" t="s">
        <v>479</v>
      </c>
    </row>
    <row r="419" spans="1:10" ht="15.75" customHeight="1" x14ac:dyDescent="0.3">
      <c r="A419" s="34" t="s">
        <v>1668</v>
      </c>
      <c r="B419" s="33" t="s">
        <v>1067</v>
      </c>
      <c r="C419" s="34">
        <v>2018</v>
      </c>
      <c r="D419" s="33" t="s">
        <v>1667</v>
      </c>
      <c r="E419" s="34" t="s">
        <v>1277</v>
      </c>
      <c r="F419" s="34" t="s">
        <v>1276</v>
      </c>
      <c r="G419" s="34" t="s">
        <v>481</v>
      </c>
      <c r="H419" s="33" t="s">
        <v>1666</v>
      </c>
      <c r="I419" s="33" t="s">
        <v>1665</v>
      </c>
      <c r="J419" s="32" t="s">
        <v>479</v>
      </c>
    </row>
    <row r="420" spans="1:10" ht="15.75" customHeight="1" x14ac:dyDescent="0.3">
      <c r="A420" s="36" t="s">
        <v>1664</v>
      </c>
      <c r="B420" s="35" t="s">
        <v>1663</v>
      </c>
      <c r="C420" s="36">
        <v>2022</v>
      </c>
      <c r="D420" s="35" t="s">
        <v>1662</v>
      </c>
      <c r="E420" s="36" t="s">
        <v>1277</v>
      </c>
      <c r="F420" s="36" t="s">
        <v>1276</v>
      </c>
      <c r="G420" s="36" t="s">
        <v>481</v>
      </c>
      <c r="H420" s="35"/>
      <c r="I420" s="35" t="s">
        <v>1661</v>
      </c>
      <c r="J420" s="32" t="s">
        <v>479</v>
      </c>
    </row>
    <row r="421" spans="1:10" ht="15.75" customHeight="1" x14ac:dyDescent="0.3">
      <c r="A421" s="34" t="s">
        <v>1660</v>
      </c>
      <c r="B421" s="33" t="s">
        <v>1659</v>
      </c>
      <c r="C421" s="34">
        <v>2020</v>
      </c>
      <c r="D421" s="33" t="s">
        <v>1343</v>
      </c>
      <c r="E421" s="34" t="s">
        <v>1277</v>
      </c>
      <c r="F421" s="34" t="s">
        <v>1276</v>
      </c>
      <c r="G421" s="34" t="s">
        <v>481</v>
      </c>
      <c r="H421" s="33" t="s">
        <v>1658</v>
      </c>
      <c r="I421" s="33" t="s">
        <v>1657</v>
      </c>
      <c r="J421" s="32" t="s">
        <v>479</v>
      </c>
    </row>
    <row r="422" spans="1:10" ht="15.75" customHeight="1" x14ac:dyDescent="0.3">
      <c r="A422" s="36" t="s">
        <v>1656</v>
      </c>
      <c r="B422" s="35" t="s">
        <v>1005</v>
      </c>
      <c r="C422" s="36">
        <v>2018</v>
      </c>
      <c r="D422" s="35" t="s">
        <v>1655</v>
      </c>
      <c r="E422" s="36" t="s">
        <v>483</v>
      </c>
      <c r="F422" s="36" t="s">
        <v>1276</v>
      </c>
      <c r="G422" s="36" t="s">
        <v>481</v>
      </c>
      <c r="H422" s="35" t="s">
        <v>1003</v>
      </c>
      <c r="I422" s="35" t="s">
        <v>1654</v>
      </c>
      <c r="J422" s="32" t="s">
        <v>479</v>
      </c>
    </row>
    <row r="423" spans="1:10" ht="15.75" customHeight="1" x14ac:dyDescent="0.3">
      <c r="A423" s="34" t="s">
        <v>1653</v>
      </c>
      <c r="B423" s="33" t="s">
        <v>549</v>
      </c>
      <c r="C423" s="34">
        <v>2007</v>
      </c>
      <c r="D423" s="33" t="s">
        <v>1317</v>
      </c>
      <c r="E423" s="34" t="s">
        <v>483</v>
      </c>
      <c r="F423" s="34" t="s">
        <v>1276</v>
      </c>
      <c r="G423" s="34" t="s">
        <v>481</v>
      </c>
      <c r="H423" s="33" t="s">
        <v>547</v>
      </c>
      <c r="I423" s="33" t="s">
        <v>1652</v>
      </c>
      <c r="J423" s="32" t="s">
        <v>479</v>
      </c>
    </row>
    <row r="424" spans="1:10" ht="15.75" customHeight="1" x14ac:dyDescent="0.3">
      <c r="A424" s="36" t="s">
        <v>1651</v>
      </c>
      <c r="B424" s="35" t="s">
        <v>1650</v>
      </c>
      <c r="C424" s="36">
        <v>2016</v>
      </c>
      <c r="D424" s="35" t="s">
        <v>1649</v>
      </c>
      <c r="E424" s="36" t="s">
        <v>1277</v>
      </c>
      <c r="F424" s="36" t="s">
        <v>1276</v>
      </c>
      <c r="G424" s="36" t="s">
        <v>481</v>
      </c>
      <c r="H424" s="35"/>
      <c r="I424" s="35" t="s">
        <v>1648</v>
      </c>
      <c r="J424" s="32" t="s">
        <v>479</v>
      </c>
    </row>
    <row r="425" spans="1:10" ht="15.75" customHeight="1" x14ac:dyDescent="0.3">
      <c r="A425" s="34" t="s">
        <v>1647</v>
      </c>
      <c r="B425" s="33" t="s">
        <v>567</v>
      </c>
      <c r="C425" s="34">
        <v>2005</v>
      </c>
      <c r="D425" s="33" t="s">
        <v>1542</v>
      </c>
      <c r="E425" s="34" t="s">
        <v>483</v>
      </c>
      <c r="F425" s="34" t="s">
        <v>1276</v>
      </c>
      <c r="G425" s="34" t="s">
        <v>481</v>
      </c>
      <c r="H425" s="33" t="s">
        <v>565</v>
      </c>
      <c r="I425" s="33" t="s">
        <v>1646</v>
      </c>
      <c r="J425" s="32" t="s">
        <v>479</v>
      </c>
    </row>
    <row r="426" spans="1:10" ht="15.75" customHeight="1" x14ac:dyDescent="0.3">
      <c r="A426" s="36" t="s">
        <v>1645</v>
      </c>
      <c r="B426" s="35" t="s">
        <v>677</v>
      </c>
      <c r="C426" s="36">
        <v>2011</v>
      </c>
      <c r="D426" s="35" t="s">
        <v>1644</v>
      </c>
      <c r="E426" s="36" t="s">
        <v>1277</v>
      </c>
      <c r="F426" s="36" t="s">
        <v>1276</v>
      </c>
      <c r="G426" s="36" t="s">
        <v>481</v>
      </c>
      <c r="H426" s="35" t="s">
        <v>675</v>
      </c>
      <c r="I426" s="35" t="s">
        <v>1643</v>
      </c>
      <c r="J426" s="32" t="s">
        <v>479</v>
      </c>
    </row>
    <row r="427" spans="1:10" ht="15.75" customHeight="1" x14ac:dyDescent="0.3">
      <c r="A427" s="34" t="s">
        <v>1642</v>
      </c>
      <c r="B427" s="33" t="s">
        <v>1641</v>
      </c>
      <c r="C427" s="34">
        <v>2008</v>
      </c>
      <c r="D427" s="33" t="s">
        <v>1640</v>
      </c>
      <c r="E427" s="34" t="s">
        <v>1277</v>
      </c>
      <c r="F427" s="34" t="s">
        <v>1276</v>
      </c>
      <c r="G427" s="34" t="s">
        <v>481</v>
      </c>
      <c r="H427" s="33"/>
      <c r="I427" s="33" t="s">
        <v>1639</v>
      </c>
      <c r="J427" s="32" t="s">
        <v>479</v>
      </c>
    </row>
    <row r="428" spans="1:10" ht="15.75" customHeight="1" x14ac:dyDescent="0.3">
      <c r="A428" s="36" t="s">
        <v>1638</v>
      </c>
      <c r="B428" s="35" t="s">
        <v>1637</v>
      </c>
      <c r="C428" s="36">
        <v>2005</v>
      </c>
      <c r="D428" s="35" t="s">
        <v>1358</v>
      </c>
      <c r="E428" s="36" t="s">
        <v>483</v>
      </c>
      <c r="F428" s="36" t="s">
        <v>1276</v>
      </c>
      <c r="G428" s="36" t="s">
        <v>1357</v>
      </c>
      <c r="H428" s="35"/>
      <c r="I428" s="35" t="s">
        <v>1636</v>
      </c>
      <c r="J428" s="32" t="s">
        <v>479</v>
      </c>
    </row>
    <row r="429" spans="1:10" ht="15.75" customHeight="1" x14ac:dyDescent="0.3">
      <c r="A429" s="34" t="s">
        <v>218</v>
      </c>
      <c r="B429" s="33" t="s">
        <v>1087</v>
      </c>
      <c r="C429" s="34">
        <v>2023</v>
      </c>
      <c r="D429" s="33" t="s">
        <v>1513</v>
      </c>
      <c r="E429" s="34" t="s">
        <v>483</v>
      </c>
      <c r="F429" s="34" t="s">
        <v>1276</v>
      </c>
      <c r="G429" s="34" t="s">
        <v>481</v>
      </c>
      <c r="H429" s="33" t="s">
        <v>1085</v>
      </c>
      <c r="I429" s="33" t="s">
        <v>1635</v>
      </c>
      <c r="J429" s="32" t="s">
        <v>479</v>
      </c>
    </row>
    <row r="430" spans="1:10" ht="15.75" customHeight="1" x14ac:dyDescent="0.3">
      <c r="A430" s="36" t="s">
        <v>1634</v>
      </c>
      <c r="B430" s="35" t="s">
        <v>1633</v>
      </c>
      <c r="C430" s="36">
        <v>2011</v>
      </c>
      <c r="D430" s="35" t="s">
        <v>1516</v>
      </c>
      <c r="E430" s="36" t="s">
        <v>483</v>
      </c>
      <c r="F430" s="36" t="s">
        <v>1276</v>
      </c>
      <c r="G430" s="36" t="s">
        <v>481</v>
      </c>
      <c r="H430" s="35" t="s">
        <v>1632</v>
      </c>
      <c r="I430" s="35" t="s">
        <v>1631</v>
      </c>
      <c r="J430" s="32" t="s">
        <v>479</v>
      </c>
    </row>
    <row r="431" spans="1:10" ht="15.75" customHeight="1" x14ac:dyDescent="0.3">
      <c r="A431" s="34" t="s">
        <v>220</v>
      </c>
      <c r="B431" s="33" t="s">
        <v>900</v>
      </c>
      <c r="C431" s="34">
        <v>2024</v>
      </c>
      <c r="D431" s="33" t="s">
        <v>1630</v>
      </c>
      <c r="E431" s="34" t="s">
        <v>483</v>
      </c>
      <c r="F431" s="34" t="s">
        <v>1276</v>
      </c>
      <c r="G431" s="34" t="s">
        <v>481</v>
      </c>
      <c r="H431" s="33" t="s">
        <v>898</v>
      </c>
      <c r="I431" s="33" t="s">
        <v>1629</v>
      </c>
      <c r="J431" s="32" t="s">
        <v>479</v>
      </c>
    </row>
    <row r="432" spans="1:10" ht="15.75" customHeight="1" x14ac:dyDescent="0.3">
      <c r="A432" s="36" t="s">
        <v>1628</v>
      </c>
      <c r="B432" s="35" t="s">
        <v>1627</v>
      </c>
      <c r="C432" s="36">
        <v>2023</v>
      </c>
      <c r="D432" s="35" t="s">
        <v>1592</v>
      </c>
      <c r="E432" s="36" t="s">
        <v>1277</v>
      </c>
      <c r="F432" s="36" t="s">
        <v>1276</v>
      </c>
      <c r="G432" s="36" t="s">
        <v>481</v>
      </c>
      <c r="H432" s="35" t="s">
        <v>1626</v>
      </c>
      <c r="I432" s="35" t="s">
        <v>1625</v>
      </c>
      <c r="J432" s="32" t="s">
        <v>479</v>
      </c>
    </row>
    <row r="433" spans="1:10" ht="15.75" customHeight="1" x14ac:dyDescent="0.3">
      <c r="A433" s="34" t="s">
        <v>221</v>
      </c>
      <c r="B433" s="33" t="s">
        <v>1624</v>
      </c>
      <c r="C433" s="34">
        <v>2021</v>
      </c>
      <c r="D433" s="33" t="s">
        <v>1623</v>
      </c>
      <c r="E433" s="34" t="s">
        <v>483</v>
      </c>
      <c r="F433" s="34" t="s">
        <v>1276</v>
      </c>
      <c r="G433" s="34" t="s">
        <v>481</v>
      </c>
      <c r="H433" s="33" t="s">
        <v>1622</v>
      </c>
      <c r="I433" s="33" t="s">
        <v>1621</v>
      </c>
      <c r="J433" s="32" t="s">
        <v>479</v>
      </c>
    </row>
    <row r="434" spans="1:10" ht="15.75" customHeight="1" x14ac:dyDescent="0.3">
      <c r="A434" s="36" t="s">
        <v>223</v>
      </c>
      <c r="B434" s="35" t="s">
        <v>1620</v>
      </c>
      <c r="C434" s="36">
        <v>2025</v>
      </c>
      <c r="D434" s="35" t="s">
        <v>1561</v>
      </c>
      <c r="E434" s="36" t="s">
        <v>483</v>
      </c>
      <c r="F434" s="36" t="s">
        <v>1276</v>
      </c>
      <c r="G434" s="36" t="s">
        <v>481</v>
      </c>
      <c r="H434" s="35" t="s">
        <v>1619</v>
      </c>
      <c r="I434" s="35" t="s">
        <v>1618</v>
      </c>
      <c r="J434" s="32" t="s">
        <v>479</v>
      </c>
    </row>
    <row r="435" spans="1:10" ht="15.75" customHeight="1" x14ac:dyDescent="0.3">
      <c r="A435" s="34" t="s">
        <v>1617</v>
      </c>
      <c r="B435" s="33" t="s">
        <v>1616</v>
      </c>
      <c r="C435" s="34">
        <v>2013</v>
      </c>
      <c r="D435" s="33" t="s">
        <v>1615</v>
      </c>
      <c r="E435" s="34" t="s">
        <v>1277</v>
      </c>
      <c r="F435" s="34" t="s">
        <v>1276</v>
      </c>
      <c r="G435" s="34" t="s">
        <v>481</v>
      </c>
      <c r="H435" s="33" t="s">
        <v>1614</v>
      </c>
      <c r="I435" s="33" t="s">
        <v>1613</v>
      </c>
      <c r="J435" s="32" t="s">
        <v>479</v>
      </c>
    </row>
    <row r="436" spans="1:10" ht="15.75" customHeight="1" x14ac:dyDescent="0.3">
      <c r="A436" s="36" t="s">
        <v>1612</v>
      </c>
      <c r="B436" s="35" t="s">
        <v>1611</v>
      </c>
      <c r="C436" s="36">
        <v>2008</v>
      </c>
      <c r="D436" s="35" t="s">
        <v>1610</v>
      </c>
      <c r="E436" s="36" t="s">
        <v>483</v>
      </c>
      <c r="F436" s="36" t="s">
        <v>1276</v>
      </c>
      <c r="G436" s="36" t="s">
        <v>1609</v>
      </c>
      <c r="H436" s="35"/>
      <c r="I436" s="35" t="s">
        <v>1608</v>
      </c>
      <c r="J436" s="32" t="s">
        <v>479</v>
      </c>
    </row>
    <row r="437" spans="1:10" ht="15.75" customHeight="1" x14ac:dyDescent="0.3">
      <c r="A437" s="34" t="s">
        <v>1607</v>
      </c>
      <c r="B437" s="33" t="s">
        <v>1606</v>
      </c>
      <c r="C437" s="34">
        <v>2014</v>
      </c>
      <c r="D437" s="33" t="s">
        <v>1605</v>
      </c>
      <c r="E437" s="34" t="s">
        <v>1277</v>
      </c>
      <c r="F437" s="34" t="s">
        <v>1276</v>
      </c>
      <c r="G437" s="34" t="s">
        <v>481</v>
      </c>
      <c r="H437" s="33" t="s">
        <v>1604</v>
      </c>
      <c r="I437" s="33" t="s">
        <v>1603</v>
      </c>
      <c r="J437" s="32" t="s">
        <v>479</v>
      </c>
    </row>
    <row r="438" spans="1:10" ht="15.75" customHeight="1" x14ac:dyDescent="0.3">
      <c r="A438" s="36" t="s">
        <v>227</v>
      </c>
      <c r="B438" s="35" t="s">
        <v>1260</v>
      </c>
      <c r="C438" s="36">
        <v>2017</v>
      </c>
      <c r="D438" s="35" t="s">
        <v>1386</v>
      </c>
      <c r="E438" s="36" t="s">
        <v>483</v>
      </c>
      <c r="F438" s="36" t="s">
        <v>1276</v>
      </c>
      <c r="G438" s="36" t="s">
        <v>481</v>
      </c>
      <c r="H438" s="35" t="s">
        <v>1259</v>
      </c>
      <c r="I438" s="35" t="s">
        <v>1602</v>
      </c>
      <c r="J438" s="32" t="s">
        <v>479</v>
      </c>
    </row>
    <row r="439" spans="1:10" ht="15.75" customHeight="1" x14ac:dyDescent="0.3">
      <c r="A439" s="34" t="s">
        <v>1601</v>
      </c>
      <c r="B439" s="33" t="s">
        <v>857</v>
      </c>
      <c r="C439" s="34">
        <v>2025</v>
      </c>
      <c r="D439" s="33" t="s">
        <v>1600</v>
      </c>
      <c r="E439" s="34" t="s">
        <v>483</v>
      </c>
      <c r="F439" s="34" t="s">
        <v>1276</v>
      </c>
      <c r="G439" s="34" t="s">
        <v>481</v>
      </c>
      <c r="H439" s="33" t="s">
        <v>856</v>
      </c>
      <c r="I439" s="33" t="s">
        <v>1599</v>
      </c>
      <c r="J439" s="32" t="s">
        <v>479</v>
      </c>
    </row>
    <row r="440" spans="1:10" ht="15.75" customHeight="1" x14ac:dyDescent="0.3">
      <c r="A440" s="36" t="s">
        <v>1598</v>
      </c>
      <c r="B440" s="35" t="s">
        <v>1597</v>
      </c>
      <c r="C440" s="36">
        <v>2018</v>
      </c>
      <c r="D440" s="35" t="s">
        <v>1343</v>
      </c>
      <c r="E440" s="36" t="s">
        <v>1277</v>
      </c>
      <c r="F440" s="36" t="s">
        <v>1276</v>
      </c>
      <c r="G440" s="36" t="s">
        <v>481</v>
      </c>
      <c r="H440" s="35" t="s">
        <v>1596</v>
      </c>
      <c r="I440" s="35" t="s">
        <v>1595</v>
      </c>
      <c r="J440" s="32" t="s">
        <v>479</v>
      </c>
    </row>
    <row r="441" spans="1:10" ht="15.75" customHeight="1" x14ac:dyDescent="0.3">
      <c r="A441" s="34" t="s">
        <v>1594</v>
      </c>
      <c r="B441" s="33" t="s">
        <v>1593</v>
      </c>
      <c r="C441" s="34">
        <v>2023</v>
      </c>
      <c r="D441" s="33" t="s">
        <v>1592</v>
      </c>
      <c r="E441" s="34" t="s">
        <v>1277</v>
      </c>
      <c r="F441" s="34" t="s">
        <v>1276</v>
      </c>
      <c r="G441" s="34" t="s">
        <v>481</v>
      </c>
      <c r="H441" s="33" t="s">
        <v>1591</v>
      </c>
      <c r="I441" s="33" t="s">
        <v>1590</v>
      </c>
      <c r="J441" s="32" t="s">
        <v>479</v>
      </c>
    </row>
    <row r="442" spans="1:10" ht="15.75" customHeight="1" x14ac:dyDescent="0.3">
      <c r="A442" s="36" t="s">
        <v>1589</v>
      </c>
      <c r="B442" s="35" t="s">
        <v>1588</v>
      </c>
      <c r="C442" s="36">
        <v>2014</v>
      </c>
      <c r="D442" s="35" t="s">
        <v>1587</v>
      </c>
      <c r="E442" s="36" t="s">
        <v>1277</v>
      </c>
      <c r="F442" s="36" t="s">
        <v>1276</v>
      </c>
      <c r="G442" s="36" t="s">
        <v>481</v>
      </c>
      <c r="H442" s="35" t="s">
        <v>1586</v>
      </c>
      <c r="I442" s="35" t="s">
        <v>1585</v>
      </c>
      <c r="J442" s="32" t="s">
        <v>479</v>
      </c>
    </row>
    <row r="443" spans="1:10" ht="15.75" customHeight="1" x14ac:dyDescent="0.3">
      <c r="A443" s="34" t="s">
        <v>1584</v>
      </c>
      <c r="B443" s="33" t="s">
        <v>1583</v>
      </c>
      <c r="C443" s="34">
        <v>2013</v>
      </c>
      <c r="D443" s="33" t="s">
        <v>1582</v>
      </c>
      <c r="E443" s="34" t="s">
        <v>483</v>
      </c>
      <c r="F443" s="34" t="s">
        <v>1276</v>
      </c>
      <c r="G443" s="34" t="s">
        <v>481</v>
      </c>
      <c r="H443" s="33" t="s">
        <v>592</v>
      </c>
      <c r="I443" s="33" t="s">
        <v>1581</v>
      </c>
      <c r="J443" s="32" t="s">
        <v>479</v>
      </c>
    </row>
    <row r="444" spans="1:10" ht="15.75" customHeight="1" x14ac:dyDescent="0.3">
      <c r="A444" s="36" t="s">
        <v>1580</v>
      </c>
      <c r="B444" s="35" t="s">
        <v>1579</v>
      </c>
      <c r="C444" s="36">
        <v>2020</v>
      </c>
      <c r="D444" s="35" t="s">
        <v>1578</v>
      </c>
      <c r="E444" s="36" t="s">
        <v>1277</v>
      </c>
      <c r="F444" s="36" t="s">
        <v>1276</v>
      </c>
      <c r="G444" s="36" t="s">
        <v>481</v>
      </c>
      <c r="H444" s="35"/>
      <c r="I444" s="35" t="s">
        <v>1577</v>
      </c>
      <c r="J444" s="32" t="s">
        <v>479</v>
      </c>
    </row>
    <row r="445" spans="1:10" ht="15.75" customHeight="1" x14ac:dyDescent="0.3">
      <c r="A445" s="34" t="s">
        <v>1576</v>
      </c>
      <c r="B445" s="33" t="s">
        <v>1575</v>
      </c>
      <c r="C445" s="34">
        <v>2014</v>
      </c>
      <c r="D445" s="33" t="s">
        <v>1574</v>
      </c>
      <c r="E445" s="34" t="s">
        <v>1277</v>
      </c>
      <c r="F445" s="34" t="s">
        <v>1276</v>
      </c>
      <c r="G445" s="34" t="s">
        <v>481</v>
      </c>
      <c r="H445" s="33" t="s">
        <v>1573</v>
      </c>
      <c r="I445" s="33" t="s">
        <v>1572</v>
      </c>
      <c r="J445" s="32" t="s">
        <v>479</v>
      </c>
    </row>
    <row r="446" spans="1:10" ht="15.75" customHeight="1" x14ac:dyDescent="0.3">
      <c r="A446" s="36" t="s">
        <v>1571</v>
      </c>
      <c r="B446" s="35" t="s">
        <v>793</v>
      </c>
      <c r="C446" s="36">
        <v>2018</v>
      </c>
      <c r="D446" s="35" t="s">
        <v>1570</v>
      </c>
      <c r="E446" s="36" t="s">
        <v>1277</v>
      </c>
      <c r="F446" s="36" t="s">
        <v>1276</v>
      </c>
      <c r="G446" s="36" t="s">
        <v>481</v>
      </c>
      <c r="H446" s="35" t="s">
        <v>1569</v>
      </c>
      <c r="I446" s="35" t="s">
        <v>1568</v>
      </c>
      <c r="J446" s="32" t="s">
        <v>479</v>
      </c>
    </row>
    <row r="447" spans="1:10" ht="15.75" customHeight="1" x14ac:dyDescent="0.3">
      <c r="A447" s="34" t="s">
        <v>1567</v>
      </c>
      <c r="B447" s="33" t="s">
        <v>1566</v>
      </c>
      <c r="C447" s="34">
        <v>2004</v>
      </c>
      <c r="D447" s="33" t="s">
        <v>1565</v>
      </c>
      <c r="E447" s="34" t="s">
        <v>483</v>
      </c>
      <c r="F447" s="34" t="s">
        <v>1276</v>
      </c>
      <c r="G447" s="34" t="s">
        <v>481</v>
      </c>
      <c r="H447" s="33" t="s">
        <v>1564</v>
      </c>
      <c r="I447" s="33" t="s">
        <v>1563</v>
      </c>
      <c r="J447" s="32" t="s">
        <v>479</v>
      </c>
    </row>
    <row r="448" spans="1:10" ht="15.75" customHeight="1" x14ac:dyDescent="0.3">
      <c r="A448" s="36" t="s">
        <v>230</v>
      </c>
      <c r="B448" s="35" t="s">
        <v>1562</v>
      </c>
      <c r="C448" s="36">
        <v>2020</v>
      </c>
      <c r="D448" s="35" t="s">
        <v>1561</v>
      </c>
      <c r="E448" s="36" t="s">
        <v>483</v>
      </c>
      <c r="F448" s="36" t="s">
        <v>1276</v>
      </c>
      <c r="G448" s="36" t="s">
        <v>481</v>
      </c>
      <c r="H448" s="35" t="s">
        <v>1560</v>
      </c>
      <c r="I448" s="35" t="s">
        <v>1559</v>
      </c>
      <c r="J448" s="32" t="s">
        <v>479</v>
      </c>
    </row>
    <row r="449" spans="1:10" ht="15.75" customHeight="1" x14ac:dyDescent="0.3">
      <c r="A449" s="34" t="s">
        <v>1558</v>
      </c>
      <c r="B449" s="33" t="s">
        <v>1557</v>
      </c>
      <c r="C449" s="34">
        <v>2007</v>
      </c>
      <c r="D449" s="33" t="s">
        <v>1334</v>
      </c>
      <c r="E449" s="34" t="s">
        <v>650</v>
      </c>
      <c r="F449" s="34" t="s">
        <v>1276</v>
      </c>
      <c r="G449" s="34" t="s">
        <v>481</v>
      </c>
      <c r="H449" s="33"/>
      <c r="I449" s="33" t="s">
        <v>1556</v>
      </c>
      <c r="J449" s="32" t="s">
        <v>479</v>
      </c>
    </row>
    <row r="450" spans="1:10" ht="15.75" customHeight="1" x14ac:dyDescent="0.3">
      <c r="A450" s="36" t="s">
        <v>1555</v>
      </c>
      <c r="B450" s="35" t="s">
        <v>1554</v>
      </c>
      <c r="C450" s="36">
        <v>2016</v>
      </c>
      <c r="D450" s="35" t="s">
        <v>1358</v>
      </c>
      <c r="E450" s="36" t="s">
        <v>483</v>
      </c>
      <c r="F450" s="36" t="s">
        <v>1276</v>
      </c>
      <c r="G450" s="36" t="s">
        <v>1357</v>
      </c>
      <c r="H450" s="35"/>
      <c r="I450" s="35" t="s">
        <v>1553</v>
      </c>
      <c r="J450" s="32" t="s">
        <v>479</v>
      </c>
    </row>
    <row r="451" spans="1:10" ht="15.75" customHeight="1" x14ac:dyDescent="0.3">
      <c r="A451" s="34" t="s">
        <v>1552</v>
      </c>
      <c r="B451" s="33" t="s">
        <v>797</v>
      </c>
      <c r="C451" s="34">
        <v>2006</v>
      </c>
      <c r="D451" s="33" t="s">
        <v>1551</v>
      </c>
      <c r="E451" s="34" t="s">
        <v>1277</v>
      </c>
      <c r="F451" s="34" t="s">
        <v>1276</v>
      </c>
      <c r="G451" s="34" t="s">
        <v>481</v>
      </c>
      <c r="H451" s="33"/>
      <c r="I451" s="33" t="s">
        <v>1550</v>
      </c>
      <c r="J451" s="32" t="s">
        <v>479</v>
      </c>
    </row>
    <row r="452" spans="1:10" ht="15.75" customHeight="1" x14ac:dyDescent="0.3">
      <c r="A452" s="36" t="s">
        <v>1549</v>
      </c>
      <c r="B452" s="35" t="s">
        <v>1548</v>
      </c>
      <c r="C452" s="36">
        <v>2018</v>
      </c>
      <c r="D452" s="35" t="s">
        <v>1547</v>
      </c>
      <c r="E452" s="36" t="s">
        <v>1277</v>
      </c>
      <c r="F452" s="36" t="s">
        <v>1276</v>
      </c>
      <c r="G452" s="36" t="s">
        <v>481</v>
      </c>
      <c r="H452" s="35" t="s">
        <v>1546</v>
      </c>
      <c r="I452" s="35" t="s">
        <v>1545</v>
      </c>
      <c r="J452" s="32" t="s">
        <v>479</v>
      </c>
    </row>
    <row r="453" spans="1:10" ht="15.75" customHeight="1" x14ac:dyDescent="0.3">
      <c r="A453" s="34" t="s">
        <v>1544</v>
      </c>
      <c r="B453" s="33" t="s">
        <v>1543</v>
      </c>
      <c r="C453" s="34">
        <v>2018</v>
      </c>
      <c r="D453" s="33" t="s">
        <v>1542</v>
      </c>
      <c r="E453" s="34" t="s">
        <v>483</v>
      </c>
      <c r="F453" s="34" t="s">
        <v>1276</v>
      </c>
      <c r="G453" s="34" t="s">
        <v>481</v>
      </c>
      <c r="H453" s="33" t="s">
        <v>617</v>
      </c>
      <c r="I453" s="33" t="s">
        <v>1541</v>
      </c>
      <c r="J453" s="32" t="s">
        <v>479</v>
      </c>
    </row>
    <row r="454" spans="1:10" ht="15.75" customHeight="1" x14ac:dyDescent="0.3">
      <c r="A454" s="36" t="s">
        <v>1540</v>
      </c>
      <c r="B454" s="35" t="s">
        <v>1539</v>
      </c>
      <c r="C454" s="36">
        <v>2009</v>
      </c>
      <c r="D454" s="35" t="s">
        <v>1426</v>
      </c>
      <c r="E454" s="36" t="s">
        <v>483</v>
      </c>
      <c r="F454" s="36" t="s">
        <v>1276</v>
      </c>
      <c r="G454" s="36" t="s">
        <v>481</v>
      </c>
      <c r="H454" s="35" t="s">
        <v>1052</v>
      </c>
      <c r="I454" s="35" t="s">
        <v>1538</v>
      </c>
      <c r="J454" s="32" t="s">
        <v>479</v>
      </c>
    </row>
    <row r="455" spans="1:10" ht="15.75" customHeight="1" x14ac:dyDescent="0.3">
      <c r="A455" s="34" t="s">
        <v>1537</v>
      </c>
      <c r="B455" s="33" t="s">
        <v>1536</v>
      </c>
      <c r="C455" s="34">
        <v>2017</v>
      </c>
      <c r="D455" s="33" t="s">
        <v>1535</v>
      </c>
      <c r="E455" s="34" t="s">
        <v>1277</v>
      </c>
      <c r="F455" s="34" t="s">
        <v>1276</v>
      </c>
      <c r="G455" s="34" t="s">
        <v>481</v>
      </c>
      <c r="H455" s="33" t="s">
        <v>1080</v>
      </c>
      <c r="I455" s="33" t="s">
        <v>1534</v>
      </c>
      <c r="J455" s="32" t="s">
        <v>479</v>
      </c>
    </row>
    <row r="456" spans="1:10" ht="15.75" customHeight="1" x14ac:dyDescent="0.3">
      <c r="A456" s="36" t="s">
        <v>234</v>
      </c>
      <c r="B456" s="35" t="s">
        <v>1533</v>
      </c>
      <c r="C456" s="36">
        <v>2022</v>
      </c>
      <c r="D456" s="35" t="s">
        <v>1532</v>
      </c>
      <c r="E456" s="36" t="s">
        <v>483</v>
      </c>
      <c r="F456" s="36" t="s">
        <v>1276</v>
      </c>
      <c r="G456" s="36" t="s">
        <v>481</v>
      </c>
      <c r="H456" s="35" t="s">
        <v>1531</v>
      </c>
      <c r="I456" s="35" t="s">
        <v>1530</v>
      </c>
      <c r="J456" s="32" t="s">
        <v>479</v>
      </c>
    </row>
    <row r="457" spans="1:10" ht="15.75" customHeight="1" x14ac:dyDescent="0.3">
      <c r="A457" s="34" t="s">
        <v>1529</v>
      </c>
      <c r="B457" s="33" t="s">
        <v>1528</v>
      </c>
      <c r="C457" s="34">
        <v>2014</v>
      </c>
      <c r="D457" s="33" t="s">
        <v>1527</v>
      </c>
      <c r="E457" s="34" t="s">
        <v>1277</v>
      </c>
      <c r="F457" s="34" t="s">
        <v>1276</v>
      </c>
      <c r="G457" s="34" t="s">
        <v>481</v>
      </c>
      <c r="H457" s="33"/>
      <c r="I457" s="33" t="s">
        <v>1526</v>
      </c>
      <c r="J457" s="32" t="s">
        <v>479</v>
      </c>
    </row>
    <row r="458" spans="1:10" ht="15.75" customHeight="1" x14ac:dyDescent="0.3">
      <c r="A458" s="36" t="s">
        <v>239</v>
      </c>
      <c r="B458" s="35" t="s">
        <v>992</v>
      </c>
      <c r="C458" s="36">
        <v>2023</v>
      </c>
      <c r="D458" s="35" t="s">
        <v>1525</v>
      </c>
      <c r="E458" s="36" t="s">
        <v>483</v>
      </c>
      <c r="F458" s="36" t="s">
        <v>1276</v>
      </c>
      <c r="G458" s="36" t="s">
        <v>481</v>
      </c>
      <c r="H458" s="35" t="s">
        <v>991</v>
      </c>
      <c r="I458" s="35" t="s">
        <v>1524</v>
      </c>
      <c r="J458" s="32" t="s">
        <v>479</v>
      </c>
    </row>
    <row r="459" spans="1:10" ht="15.75" customHeight="1" x14ac:dyDescent="0.3">
      <c r="A459" s="34" t="s">
        <v>1523</v>
      </c>
      <c r="B459" s="33" t="s">
        <v>1522</v>
      </c>
      <c r="C459" s="34">
        <v>2008</v>
      </c>
      <c r="D459" s="33" t="s">
        <v>1521</v>
      </c>
      <c r="E459" s="34" t="s">
        <v>1277</v>
      </c>
      <c r="F459" s="34" t="s">
        <v>1276</v>
      </c>
      <c r="G459" s="34" t="s">
        <v>481</v>
      </c>
      <c r="H459" s="33" t="s">
        <v>1520</v>
      </c>
      <c r="I459" s="33" t="s">
        <v>1519</v>
      </c>
      <c r="J459" s="32" t="s">
        <v>479</v>
      </c>
    </row>
    <row r="460" spans="1:10" ht="15.75" customHeight="1" x14ac:dyDescent="0.3">
      <c r="A460" s="36" t="s">
        <v>1518</v>
      </c>
      <c r="B460" s="35" t="s">
        <v>1517</v>
      </c>
      <c r="C460" s="36">
        <v>2019</v>
      </c>
      <c r="D460" s="35" t="s">
        <v>1516</v>
      </c>
      <c r="E460" s="36" t="s">
        <v>483</v>
      </c>
      <c r="F460" s="36" t="s">
        <v>1276</v>
      </c>
      <c r="G460" s="36" t="s">
        <v>481</v>
      </c>
      <c r="H460" s="35" t="s">
        <v>1515</v>
      </c>
      <c r="I460" s="35" t="s">
        <v>1514</v>
      </c>
      <c r="J460" s="32" t="s">
        <v>479</v>
      </c>
    </row>
    <row r="461" spans="1:10" ht="15.75" customHeight="1" x14ac:dyDescent="0.3">
      <c r="A461" s="34" t="s">
        <v>245</v>
      </c>
      <c r="B461" s="33" t="s">
        <v>1163</v>
      </c>
      <c r="C461" s="34">
        <v>2025</v>
      </c>
      <c r="D461" s="33" t="s">
        <v>1513</v>
      </c>
      <c r="E461" s="34" t="s">
        <v>483</v>
      </c>
      <c r="F461" s="34" t="s">
        <v>1276</v>
      </c>
      <c r="G461" s="34" t="s">
        <v>481</v>
      </c>
      <c r="H461" s="33" t="s">
        <v>1162</v>
      </c>
      <c r="I461" s="33" t="s">
        <v>1512</v>
      </c>
      <c r="J461" s="32" t="s">
        <v>479</v>
      </c>
    </row>
    <row r="462" spans="1:10" ht="15.75" customHeight="1" x14ac:dyDescent="0.3">
      <c r="A462" s="36" t="s">
        <v>1511</v>
      </c>
      <c r="B462" s="35" t="s">
        <v>1510</v>
      </c>
      <c r="C462" s="36">
        <v>2010</v>
      </c>
      <c r="D462" s="35" t="s">
        <v>1509</v>
      </c>
      <c r="E462" s="36" t="s">
        <v>1277</v>
      </c>
      <c r="F462" s="36" t="s">
        <v>1276</v>
      </c>
      <c r="G462" s="36" t="s">
        <v>481</v>
      </c>
      <c r="H462" s="35"/>
      <c r="I462" s="35" t="s">
        <v>1508</v>
      </c>
      <c r="J462" s="32" t="s">
        <v>479</v>
      </c>
    </row>
    <row r="463" spans="1:10" ht="15.75" customHeight="1" x14ac:dyDescent="0.3">
      <c r="A463" s="34" t="s">
        <v>247</v>
      </c>
      <c r="B463" s="33" t="s">
        <v>540</v>
      </c>
      <c r="C463" s="34">
        <v>2018</v>
      </c>
      <c r="D463" s="33" t="s">
        <v>1297</v>
      </c>
      <c r="E463" s="34" t="s">
        <v>483</v>
      </c>
      <c r="F463" s="34" t="s">
        <v>1276</v>
      </c>
      <c r="G463" s="34" t="s">
        <v>481</v>
      </c>
      <c r="H463" s="33" t="s">
        <v>538</v>
      </c>
      <c r="I463" s="33" t="s">
        <v>1507</v>
      </c>
      <c r="J463" s="32" t="s">
        <v>479</v>
      </c>
    </row>
    <row r="464" spans="1:10" ht="15.75" customHeight="1" x14ac:dyDescent="0.3">
      <c r="A464" s="36" t="s">
        <v>1506</v>
      </c>
      <c r="B464" s="35" t="s">
        <v>1109</v>
      </c>
      <c r="C464" s="36">
        <v>2015</v>
      </c>
      <c r="D464" s="35" t="s">
        <v>1505</v>
      </c>
      <c r="E464" s="36" t="s">
        <v>483</v>
      </c>
      <c r="F464" s="36" t="s">
        <v>1276</v>
      </c>
      <c r="G464" s="36" t="s">
        <v>481</v>
      </c>
      <c r="H464" s="35" t="s">
        <v>1107</v>
      </c>
      <c r="I464" s="35" t="s">
        <v>1504</v>
      </c>
      <c r="J464" s="32" t="s">
        <v>479</v>
      </c>
    </row>
    <row r="465" spans="1:10" ht="15.75" customHeight="1" x14ac:dyDescent="0.3">
      <c r="A465" s="34" t="s">
        <v>1503</v>
      </c>
      <c r="B465" s="33" t="s">
        <v>1502</v>
      </c>
      <c r="C465" s="34">
        <v>2017</v>
      </c>
      <c r="D465" s="33" t="s">
        <v>1501</v>
      </c>
      <c r="E465" s="34" t="s">
        <v>1277</v>
      </c>
      <c r="F465" s="34" t="s">
        <v>1276</v>
      </c>
      <c r="G465" s="34" t="s">
        <v>481</v>
      </c>
      <c r="H465" s="33" t="s">
        <v>1500</v>
      </c>
      <c r="I465" s="33" t="s">
        <v>1499</v>
      </c>
      <c r="J465" s="32" t="s">
        <v>479</v>
      </c>
    </row>
    <row r="466" spans="1:10" ht="15.75" customHeight="1" x14ac:dyDescent="0.3">
      <c r="A466" s="36" t="s">
        <v>248</v>
      </c>
      <c r="B466" s="35" t="s">
        <v>682</v>
      </c>
      <c r="C466" s="36">
        <v>2024</v>
      </c>
      <c r="D466" s="35" t="s">
        <v>1498</v>
      </c>
      <c r="E466" s="36" t="s">
        <v>483</v>
      </c>
      <c r="F466" s="36" t="s">
        <v>1276</v>
      </c>
      <c r="G466" s="36" t="s">
        <v>481</v>
      </c>
      <c r="H466" s="35" t="s">
        <v>680</v>
      </c>
      <c r="I466" s="35" t="s">
        <v>1497</v>
      </c>
      <c r="J466" s="32" t="s">
        <v>479</v>
      </c>
    </row>
    <row r="467" spans="1:10" ht="15.75" customHeight="1" x14ac:dyDescent="0.3">
      <c r="A467" s="34" t="s">
        <v>253</v>
      </c>
      <c r="B467" s="33" t="s">
        <v>1496</v>
      </c>
      <c r="C467" s="34">
        <v>2021</v>
      </c>
      <c r="D467" s="33" t="s">
        <v>1495</v>
      </c>
      <c r="E467" s="34" t="s">
        <v>483</v>
      </c>
      <c r="F467" s="34" t="s">
        <v>1276</v>
      </c>
      <c r="G467" s="34" t="s">
        <v>481</v>
      </c>
      <c r="H467" s="33" t="s">
        <v>999</v>
      </c>
      <c r="I467" s="33" t="s">
        <v>1494</v>
      </c>
      <c r="J467" s="32" t="s">
        <v>479</v>
      </c>
    </row>
    <row r="468" spans="1:10" ht="15.75" customHeight="1" x14ac:dyDescent="0.3">
      <c r="A468" s="36" t="s">
        <v>257</v>
      </c>
      <c r="B468" s="35" t="s">
        <v>1493</v>
      </c>
      <c r="C468" s="36">
        <v>2018</v>
      </c>
      <c r="D468" s="35" t="s">
        <v>1410</v>
      </c>
      <c r="E468" s="36" t="s">
        <v>483</v>
      </c>
      <c r="F468" s="36" t="s">
        <v>1276</v>
      </c>
      <c r="G468" s="36" t="s">
        <v>481</v>
      </c>
      <c r="H468" s="35" t="s">
        <v>1492</v>
      </c>
      <c r="I468" s="35" t="s">
        <v>1491</v>
      </c>
      <c r="J468" s="32" t="s">
        <v>479</v>
      </c>
    </row>
    <row r="469" spans="1:10" ht="15.75" customHeight="1" x14ac:dyDescent="0.3">
      <c r="A469" s="34" t="s">
        <v>1490</v>
      </c>
      <c r="B469" s="33" t="s">
        <v>1489</v>
      </c>
      <c r="C469" s="34">
        <v>2009</v>
      </c>
      <c r="D469" s="33" t="s">
        <v>1488</v>
      </c>
      <c r="E469" s="34" t="s">
        <v>483</v>
      </c>
      <c r="F469" s="34" t="s">
        <v>1276</v>
      </c>
      <c r="G469" s="34" t="s">
        <v>481</v>
      </c>
      <c r="H469" s="33"/>
      <c r="I469" s="33" t="s">
        <v>1487</v>
      </c>
      <c r="J469" s="32" t="s">
        <v>479</v>
      </c>
    </row>
    <row r="470" spans="1:10" ht="15.75" customHeight="1" x14ac:dyDescent="0.3">
      <c r="A470" s="36" t="s">
        <v>1486</v>
      </c>
      <c r="B470" s="35" t="s">
        <v>1485</v>
      </c>
      <c r="C470" s="36">
        <v>2001</v>
      </c>
      <c r="D470" s="35" t="s">
        <v>1484</v>
      </c>
      <c r="E470" s="36" t="s">
        <v>1277</v>
      </c>
      <c r="F470" s="36" t="s">
        <v>1276</v>
      </c>
      <c r="G470" s="36" t="s">
        <v>481</v>
      </c>
      <c r="H470" s="35" t="s">
        <v>1483</v>
      </c>
      <c r="I470" s="35" t="s">
        <v>1482</v>
      </c>
      <c r="J470" s="32" t="s">
        <v>479</v>
      </c>
    </row>
    <row r="471" spans="1:10" ht="15.75" customHeight="1" x14ac:dyDescent="0.3">
      <c r="A471" s="34" t="s">
        <v>1481</v>
      </c>
      <c r="B471" s="33" t="s">
        <v>1480</v>
      </c>
      <c r="C471" s="34">
        <v>2009</v>
      </c>
      <c r="D471" s="33" t="s">
        <v>1479</v>
      </c>
      <c r="E471" s="34" t="s">
        <v>1277</v>
      </c>
      <c r="F471" s="34" t="s">
        <v>1276</v>
      </c>
      <c r="G471" s="34" t="s">
        <v>481</v>
      </c>
      <c r="H471" s="33"/>
      <c r="I471" s="33" t="s">
        <v>1478</v>
      </c>
      <c r="J471" s="32" t="s">
        <v>479</v>
      </c>
    </row>
    <row r="472" spans="1:10" ht="15.75" customHeight="1" x14ac:dyDescent="0.3">
      <c r="A472" s="36" t="s">
        <v>1477</v>
      </c>
      <c r="B472" s="35" t="s">
        <v>1476</v>
      </c>
      <c r="C472" s="36">
        <v>2014</v>
      </c>
      <c r="D472" s="35" t="s">
        <v>1438</v>
      </c>
      <c r="E472" s="36" t="s">
        <v>483</v>
      </c>
      <c r="F472" s="36" t="s">
        <v>1276</v>
      </c>
      <c r="G472" s="36" t="s">
        <v>481</v>
      </c>
      <c r="H472" s="35" t="s">
        <v>1475</v>
      </c>
      <c r="I472" s="35" t="s">
        <v>1474</v>
      </c>
      <c r="J472" s="32" t="s">
        <v>479</v>
      </c>
    </row>
    <row r="473" spans="1:10" ht="15.75" customHeight="1" x14ac:dyDescent="0.3">
      <c r="A473" s="34" t="s">
        <v>1473</v>
      </c>
      <c r="B473" s="33" t="s">
        <v>1472</v>
      </c>
      <c r="C473" s="34">
        <v>2015</v>
      </c>
      <c r="D473" s="33" t="s">
        <v>1426</v>
      </c>
      <c r="E473" s="34" t="s">
        <v>483</v>
      </c>
      <c r="F473" s="34" t="s">
        <v>1276</v>
      </c>
      <c r="G473" s="34" t="s">
        <v>481</v>
      </c>
      <c r="H473" s="33" t="s">
        <v>1471</v>
      </c>
      <c r="I473" s="33" t="s">
        <v>1470</v>
      </c>
      <c r="J473" s="32" t="s">
        <v>479</v>
      </c>
    </row>
    <row r="474" spans="1:10" ht="15.75" customHeight="1" x14ac:dyDescent="0.3">
      <c r="A474" s="36" t="s">
        <v>1469</v>
      </c>
      <c r="B474" s="35" t="s">
        <v>1468</v>
      </c>
      <c r="C474" s="36">
        <v>2017</v>
      </c>
      <c r="D474" s="35" t="s">
        <v>1467</v>
      </c>
      <c r="E474" s="36" t="s">
        <v>1277</v>
      </c>
      <c r="F474" s="36" t="s">
        <v>1276</v>
      </c>
      <c r="G474" s="36" t="s">
        <v>481</v>
      </c>
      <c r="H474" s="35" t="s">
        <v>1466</v>
      </c>
      <c r="I474" s="35" t="s">
        <v>1465</v>
      </c>
      <c r="J474" s="32" t="s">
        <v>479</v>
      </c>
    </row>
    <row r="475" spans="1:10" ht="15.75" customHeight="1" x14ac:dyDescent="0.3">
      <c r="A475" s="34" t="s">
        <v>1464</v>
      </c>
      <c r="B475" s="33" t="s">
        <v>1463</v>
      </c>
      <c r="C475" s="34">
        <v>2008</v>
      </c>
      <c r="D475" s="33" t="s">
        <v>1462</v>
      </c>
      <c r="E475" s="34" t="s">
        <v>1277</v>
      </c>
      <c r="F475" s="34" t="s">
        <v>1276</v>
      </c>
      <c r="G475" s="34" t="s">
        <v>481</v>
      </c>
      <c r="H475" s="33" t="s">
        <v>1461</v>
      </c>
      <c r="I475" s="33" t="s">
        <v>1460</v>
      </c>
      <c r="J475" s="32" t="s">
        <v>479</v>
      </c>
    </row>
    <row r="476" spans="1:10" ht="15.75" customHeight="1" x14ac:dyDescent="0.3">
      <c r="A476" s="36" t="s">
        <v>1459</v>
      </c>
      <c r="B476" s="35" t="s">
        <v>1458</v>
      </c>
      <c r="C476" s="36">
        <v>2014</v>
      </c>
      <c r="D476" s="35" t="s">
        <v>1457</v>
      </c>
      <c r="E476" s="36" t="s">
        <v>1277</v>
      </c>
      <c r="F476" s="36" t="s">
        <v>1276</v>
      </c>
      <c r="G476" s="36" t="s">
        <v>481</v>
      </c>
      <c r="H476" s="35" t="s">
        <v>1456</v>
      </c>
      <c r="I476" s="35" t="s">
        <v>1455</v>
      </c>
      <c r="J476" s="32" t="s">
        <v>479</v>
      </c>
    </row>
    <row r="477" spans="1:10" ht="15.75" customHeight="1" x14ac:dyDescent="0.3">
      <c r="A477" s="34" t="s">
        <v>1454</v>
      </c>
      <c r="B477" s="33" t="s">
        <v>1240</v>
      </c>
      <c r="C477" s="34">
        <v>2001</v>
      </c>
      <c r="D477" s="33" t="s">
        <v>1441</v>
      </c>
      <c r="E477" s="34" t="s">
        <v>483</v>
      </c>
      <c r="F477" s="34" t="s">
        <v>1276</v>
      </c>
      <c r="G477" s="34" t="s">
        <v>481</v>
      </c>
      <c r="H477" s="33" t="s">
        <v>1239</v>
      </c>
      <c r="I477" s="33" t="s">
        <v>1453</v>
      </c>
      <c r="J477" s="32" t="s">
        <v>479</v>
      </c>
    </row>
    <row r="478" spans="1:10" ht="15.75" customHeight="1" x14ac:dyDescent="0.3">
      <c r="A478" s="36" t="s">
        <v>1452</v>
      </c>
      <c r="B478" s="35" t="s">
        <v>1451</v>
      </c>
      <c r="C478" s="36">
        <v>2018</v>
      </c>
      <c r="D478" s="35" t="s">
        <v>1450</v>
      </c>
      <c r="E478" s="36" t="s">
        <v>483</v>
      </c>
      <c r="F478" s="36" t="s">
        <v>1276</v>
      </c>
      <c r="G478" s="36" t="s">
        <v>481</v>
      </c>
      <c r="H478" s="35" t="s">
        <v>1449</v>
      </c>
      <c r="I478" s="35" t="s">
        <v>1448</v>
      </c>
      <c r="J478" s="32" t="s">
        <v>479</v>
      </c>
    </row>
    <row r="479" spans="1:10" ht="15.75" customHeight="1" x14ac:dyDescent="0.3">
      <c r="A479" s="34" t="s">
        <v>1447</v>
      </c>
      <c r="B479" s="33" t="s">
        <v>1446</v>
      </c>
      <c r="C479" s="34">
        <v>2012</v>
      </c>
      <c r="D479" s="33" t="s">
        <v>1445</v>
      </c>
      <c r="E479" s="34" t="s">
        <v>483</v>
      </c>
      <c r="F479" s="34" t="s">
        <v>1276</v>
      </c>
      <c r="G479" s="34" t="s">
        <v>1357</v>
      </c>
      <c r="H479" s="33" t="s">
        <v>1444</v>
      </c>
      <c r="I479" s="33" t="s">
        <v>1443</v>
      </c>
      <c r="J479" s="32" t="s">
        <v>479</v>
      </c>
    </row>
    <row r="480" spans="1:10" ht="15.75" customHeight="1" x14ac:dyDescent="0.3">
      <c r="A480" s="36" t="s">
        <v>1442</v>
      </c>
      <c r="B480" s="35" t="s">
        <v>1206</v>
      </c>
      <c r="C480" s="36">
        <v>2006</v>
      </c>
      <c r="D480" s="35" t="s">
        <v>1441</v>
      </c>
      <c r="E480" s="36" t="s">
        <v>483</v>
      </c>
      <c r="F480" s="36" t="s">
        <v>1276</v>
      </c>
      <c r="G480" s="36" t="s">
        <v>481</v>
      </c>
      <c r="H480" s="35" t="s">
        <v>1205</v>
      </c>
      <c r="I480" s="35" t="s">
        <v>1440</v>
      </c>
      <c r="J480" s="32" t="s">
        <v>479</v>
      </c>
    </row>
    <row r="481" spans="1:10" ht="15.75" customHeight="1" x14ac:dyDescent="0.3">
      <c r="A481" s="34" t="s">
        <v>258</v>
      </c>
      <c r="B481" s="33" t="s">
        <v>1439</v>
      </c>
      <c r="C481" s="34">
        <v>2021</v>
      </c>
      <c r="D481" s="33" t="s">
        <v>1438</v>
      </c>
      <c r="E481" s="34" t="s">
        <v>483</v>
      </c>
      <c r="F481" s="34" t="s">
        <v>1276</v>
      </c>
      <c r="G481" s="34" t="s">
        <v>481</v>
      </c>
      <c r="H481" s="33" t="s">
        <v>1437</v>
      </c>
      <c r="I481" s="33" t="s">
        <v>1436</v>
      </c>
      <c r="J481" s="32" t="s">
        <v>479</v>
      </c>
    </row>
    <row r="482" spans="1:10" ht="15.75" customHeight="1" x14ac:dyDescent="0.3">
      <c r="A482" s="36" t="s">
        <v>1435</v>
      </c>
      <c r="B482" s="35" t="s">
        <v>1434</v>
      </c>
      <c r="C482" s="36">
        <v>2008</v>
      </c>
      <c r="D482" s="35" t="s">
        <v>1433</v>
      </c>
      <c r="E482" s="36" t="s">
        <v>1277</v>
      </c>
      <c r="F482" s="36" t="s">
        <v>1276</v>
      </c>
      <c r="G482" s="36" t="s">
        <v>481</v>
      </c>
      <c r="H482" s="35" t="s">
        <v>1432</v>
      </c>
      <c r="I482" s="35" t="s">
        <v>1431</v>
      </c>
      <c r="J482" s="32" t="s">
        <v>479</v>
      </c>
    </row>
    <row r="483" spans="1:10" ht="15.75" customHeight="1" x14ac:dyDescent="0.3">
      <c r="A483" s="34" t="s">
        <v>259</v>
      </c>
      <c r="B483" s="33" t="s">
        <v>1430</v>
      </c>
      <c r="C483" s="34">
        <v>2018</v>
      </c>
      <c r="D483" s="33" t="s">
        <v>1297</v>
      </c>
      <c r="E483" s="34" t="s">
        <v>483</v>
      </c>
      <c r="F483" s="34" t="s">
        <v>1276</v>
      </c>
      <c r="G483" s="34" t="s">
        <v>481</v>
      </c>
      <c r="H483" s="33" t="s">
        <v>1429</v>
      </c>
      <c r="I483" s="33" t="s">
        <v>1428</v>
      </c>
      <c r="J483" s="32" t="s">
        <v>479</v>
      </c>
    </row>
    <row r="484" spans="1:10" ht="15.75" customHeight="1" x14ac:dyDescent="0.3">
      <c r="A484" s="36" t="s">
        <v>1427</v>
      </c>
      <c r="B484" s="35" t="s">
        <v>962</v>
      </c>
      <c r="C484" s="36">
        <v>2019</v>
      </c>
      <c r="D484" s="35" t="s">
        <v>1426</v>
      </c>
      <c r="E484" s="36" t="s">
        <v>483</v>
      </c>
      <c r="F484" s="36" t="s">
        <v>1276</v>
      </c>
      <c r="G484" s="36" t="s">
        <v>481</v>
      </c>
      <c r="H484" s="35" t="s">
        <v>960</v>
      </c>
      <c r="I484" s="35" t="s">
        <v>1425</v>
      </c>
      <c r="J484" s="32" t="s">
        <v>479</v>
      </c>
    </row>
    <row r="485" spans="1:10" ht="15.75" customHeight="1" x14ac:dyDescent="0.3">
      <c r="A485" s="34" t="s">
        <v>1424</v>
      </c>
      <c r="B485" s="33" t="s">
        <v>1423</v>
      </c>
      <c r="C485" s="34">
        <v>2017</v>
      </c>
      <c r="D485" s="33" t="s">
        <v>1422</v>
      </c>
      <c r="E485" s="34" t="s">
        <v>1277</v>
      </c>
      <c r="F485" s="34" t="s">
        <v>1276</v>
      </c>
      <c r="G485" s="34" t="s">
        <v>481</v>
      </c>
      <c r="H485" s="33" t="s">
        <v>1421</v>
      </c>
      <c r="I485" s="33" t="s">
        <v>1420</v>
      </c>
      <c r="J485" s="32" t="s">
        <v>479</v>
      </c>
    </row>
    <row r="486" spans="1:10" ht="15.75" customHeight="1" x14ac:dyDescent="0.3">
      <c r="A486" s="36" t="s">
        <v>1419</v>
      </c>
      <c r="B486" s="35" t="s">
        <v>1418</v>
      </c>
      <c r="C486" s="36">
        <v>2007</v>
      </c>
      <c r="D486" s="35" t="s">
        <v>1417</v>
      </c>
      <c r="E486" s="36" t="s">
        <v>1416</v>
      </c>
      <c r="F486" s="36" t="s">
        <v>1276</v>
      </c>
      <c r="G486" s="36" t="s">
        <v>481</v>
      </c>
      <c r="H486" s="35" t="s">
        <v>1415</v>
      </c>
      <c r="I486" s="35" t="s">
        <v>1414</v>
      </c>
      <c r="J486" s="32" t="s">
        <v>479</v>
      </c>
    </row>
    <row r="487" spans="1:10" ht="15.75" customHeight="1" x14ac:dyDescent="0.3">
      <c r="A487" s="34" t="s">
        <v>261</v>
      </c>
      <c r="B487" s="33" t="s">
        <v>1413</v>
      </c>
      <c r="C487" s="34">
        <v>2017</v>
      </c>
      <c r="D487" s="33" t="s">
        <v>1412</v>
      </c>
      <c r="E487" s="34" t="s">
        <v>483</v>
      </c>
      <c r="F487" s="34" t="s">
        <v>1276</v>
      </c>
      <c r="G487" s="34" t="s">
        <v>481</v>
      </c>
      <c r="H487" s="33"/>
      <c r="I487" s="33" t="s">
        <v>1411</v>
      </c>
      <c r="J487" s="32" t="s">
        <v>479</v>
      </c>
    </row>
    <row r="488" spans="1:10" ht="15.75" customHeight="1" x14ac:dyDescent="0.3">
      <c r="A488" s="36" t="s">
        <v>264</v>
      </c>
      <c r="B488" s="35" t="s">
        <v>948</v>
      </c>
      <c r="C488" s="36">
        <v>2019</v>
      </c>
      <c r="D488" s="35" t="s">
        <v>1410</v>
      </c>
      <c r="E488" s="36" t="s">
        <v>483</v>
      </c>
      <c r="F488" s="36" t="s">
        <v>1276</v>
      </c>
      <c r="G488" s="36" t="s">
        <v>481</v>
      </c>
      <c r="H488" s="35" t="s">
        <v>947</v>
      </c>
      <c r="I488" s="35" t="s">
        <v>1409</v>
      </c>
      <c r="J488" s="32" t="s">
        <v>479</v>
      </c>
    </row>
    <row r="489" spans="1:10" ht="15.75" customHeight="1" x14ac:dyDescent="0.3">
      <c r="A489" s="34" t="s">
        <v>1408</v>
      </c>
      <c r="B489" s="33" t="s">
        <v>714</v>
      </c>
      <c r="C489" s="34">
        <v>2016</v>
      </c>
      <c r="D489" s="33" t="s">
        <v>1407</v>
      </c>
      <c r="E489" s="34" t="s">
        <v>1277</v>
      </c>
      <c r="F489" s="34" t="s">
        <v>1276</v>
      </c>
      <c r="G489" s="34" t="s">
        <v>481</v>
      </c>
      <c r="H489" s="33" t="s">
        <v>1406</v>
      </c>
      <c r="I489" s="33" t="s">
        <v>1405</v>
      </c>
      <c r="J489" s="32" t="s">
        <v>479</v>
      </c>
    </row>
    <row r="490" spans="1:10" ht="15.75" customHeight="1" x14ac:dyDescent="0.3">
      <c r="A490" s="36" t="s">
        <v>1404</v>
      </c>
      <c r="B490" s="35" t="s">
        <v>1403</v>
      </c>
      <c r="C490" s="36">
        <v>2007</v>
      </c>
      <c r="D490" s="35" t="s">
        <v>1402</v>
      </c>
      <c r="E490" s="36" t="s">
        <v>1277</v>
      </c>
      <c r="F490" s="36" t="s">
        <v>1276</v>
      </c>
      <c r="G490" s="36" t="s">
        <v>481</v>
      </c>
      <c r="H490" s="35"/>
      <c r="I490" s="35" t="s">
        <v>1401</v>
      </c>
      <c r="J490" s="32" t="s">
        <v>479</v>
      </c>
    </row>
    <row r="491" spans="1:10" ht="15.75" customHeight="1" x14ac:dyDescent="0.3">
      <c r="A491" s="34" t="s">
        <v>1400</v>
      </c>
      <c r="B491" s="33" t="s">
        <v>1399</v>
      </c>
      <c r="C491" s="34">
        <v>2009</v>
      </c>
      <c r="D491" s="33" t="s">
        <v>1343</v>
      </c>
      <c r="E491" s="34" t="s">
        <v>1277</v>
      </c>
      <c r="F491" s="34" t="s">
        <v>1276</v>
      </c>
      <c r="G491" s="34" t="s">
        <v>481</v>
      </c>
      <c r="H491" s="33" t="s">
        <v>1398</v>
      </c>
      <c r="I491" s="33" t="s">
        <v>1397</v>
      </c>
      <c r="J491" s="32" t="s">
        <v>479</v>
      </c>
    </row>
    <row r="492" spans="1:10" ht="15.75" customHeight="1" x14ac:dyDescent="0.3">
      <c r="A492" s="36" t="s">
        <v>1396</v>
      </c>
      <c r="B492" s="35" t="s">
        <v>1395</v>
      </c>
      <c r="C492" s="36">
        <v>2015</v>
      </c>
      <c r="D492" s="35" t="s">
        <v>1394</v>
      </c>
      <c r="E492" s="36" t="s">
        <v>1277</v>
      </c>
      <c r="F492" s="36" t="s">
        <v>1276</v>
      </c>
      <c r="G492" s="36" t="s">
        <v>481</v>
      </c>
      <c r="H492" s="35" t="s">
        <v>1393</v>
      </c>
      <c r="I492" s="35" t="s">
        <v>1392</v>
      </c>
      <c r="J492" s="32" t="s">
        <v>479</v>
      </c>
    </row>
    <row r="493" spans="1:10" ht="15.75" customHeight="1" x14ac:dyDescent="0.3">
      <c r="A493" s="34" t="s">
        <v>267</v>
      </c>
      <c r="B493" s="33" t="s">
        <v>1391</v>
      </c>
      <c r="C493" s="34">
        <v>2024</v>
      </c>
      <c r="D493" s="33" t="s">
        <v>1390</v>
      </c>
      <c r="E493" s="34" t="s">
        <v>483</v>
      </c>
      <c r="F493" s="34" t="s">
        <v>1276</v>
      </c>
      <c r="G493" s="34" t="s">
        <v>481</v>
      </c>
      <c r="H493" s="33" t="s">
        <v>1389</v>
      </c>
      <c r="I493" s="33" t="s">
        <v>1388</v>
      </c>
      <c r="J493" s="32" t="s">
        <v>479</v>
      </c>
    </row>
    <row r="494" spans="1:10" ht="15.75" customHeight="1" x14ac:dyDescent="0.3">
      <c r="A494" s="36" t="s">
        <v>270</v>
      </c>
      <c r="B494" s="35" t="s">
        <v>1387</v>
      </c>
      <c r="C494" s="36">
        <v>2025</v>
      </c>
      <c r="D494" s="35" t="s">
        <v>1386</v>
      </c>
      <c r="E494" s="36" t="s">
        <v>483</v>
      </c>
      <c r="F494" s="36" t="s">
        <v>1276</v>
      </c>
      <c r="G494" s="36" t="s">
        <v>481</v>
      </c>
      <c r="H494" s="35" t="s">
        <v>1385</v>
      </c>
      <c r="I494" s="35" t="s">
        <v>1384</v>
      </c>
      <c r="J494" s="32" t="s">
        <v>479</v>
      </c>
    </row>
    <row r="495" spans="1:10" ht="15.75" customHeight="1" x14ac:dyDescent="0.3">
      <c r="A495" s="34" t="s">
        <v>1383</v>
      </c>
      <c r="B495" s="33" t="s">
        <v>1382</v>
      </c>
      <c r="C495" s="34">
        <v>2013</v>
      </c>
      <c r="D495" s="33" t="s">
        <v>1317</v>
      </c>
      <c r="E495" s="34" t="s">
        <v>483</v>
      </c>
      <c r="F495" s="34" t="s">
        <v>1276</v>
      </c>
      <c r="G495" s="34" t="s">
        <v>481</v>
      </c>
      <c r="H495" s="33" t="s">
        <v>1381</v>
      </c>
      <c r="I495" s="33" t="s">
        <v>1380</v>
      </c>
      <c r="J495" s="32" t="s">
        <v>479</v>
      </c>
    </row>
    <row r="496" spans="1:10" ht="15.75" customHeight="1" x14ac:dyDescent="0.3">
      <c r="A496" s="36" t="s">
        <v>272</v>
      </c>
      <c r="B496" s="35" t="s">
        <v>1379</v>
      </c>
      <c r="C496" s="36">
        <v>2019</v>
      </c>
      <c r="D496" s="35" t="s">
        <v>1378</v>
      </c>
      <c r="E496" s="36" t="s">
        <v>483</v>
      </c>
      <c r="F496" s="36" t="s">
        <v>1276</v>
      </c>
      <c r="G496" s="36" t="s">
        <v>481</v>
      </c>
      <c r="H496" s="35" t="s">
        <v>655</v>
      </c>
      <c r="I496" s="35" t="s">
        <v>1377</v>
      </c>
      <c r="J496" s="32" t="s">
        <v>479</v>
      </c>
    </row>
    <row r="497" spans="1:10" ht="15.75" customHeight="1" x14ac:dyDescent="0.3">
      <c r="A497" s="34" t="s">
        <v>1376</v>
      </c>
      <c r="B497" s="33" t="s">
        <v>1375</v>
      </c>
      <c r="C497" s="34">
        <v>2014</v>
      </c>
      <c r="D497" s="33" t="s">
        <v>1374</v>
      </c>
      <c r="E497" s="34" t="s">
        <v>1277</v>
      </c>
      <c r="F497" s="34" t="s">
        <v>1276</v>
      </c>
      <c r="G497" s="34" t="s">
        <v>481</v>
      </c>
      <c r="H497" s="33"/>
      <c r="I497" s="33" t="s">
        <v>1373</v>
      </c>
      <c r="J497" s="32" t="s">
        <v>479</v>
      </c>
    </row>
    <row r="498" spans="1:10" ht="15.75" customHeight="1" x14ac:dyDescent="0.3">
      <c r="A498" s="36" t="s">
        <v>1372</v>
      </c>
      <c r="B498" s="35" t="s">
        <v>1371</v>
      </c>
      <c r="C498" s="36">
        <v>2018</v>
      </c>
      <c r="D498" s="35" t="s">
        <v>1370</v>
      </c>
      <c r="E498" s="36" t="s">
        <v>1277</v>
      </c>
      <c r="F498" s="36" t="s">
        <v>1276</v>
      </c>
      <c r="G498" s="36" t="s">
        <v>481</v>
      </c>
      <c r="H498" s="35" t="s">
        <v>1369</v>
      </c>
      <c r="I498" s="35" t="s">
        <v>1368</v>
      </c>
      <c r="J498" s="32" t="s">
        <v>479</v>
      </c>
    </row>
    <row r="499" spans="1:10" ht="15.75" customHeight="1" x14ac:dyDescent="0.3">
      <c r="A499" s="34" t="s">
        <v>1367</v>
      </c>
      <c r="B499" s="33" t="s">
        <v>1366</v>
      </c>
      <c r="C499" s="34">
        <v>2021</v>
      </c>
      <c r="D499" s="33" t="s">
        <v>1358</v>
      </c>
      <c r="E499" s="34" t="s">
        <v>483</v>
      </c>
      <c r="F499" s="34" t="s">
        <v>1276</v>
      </c>
      <c r="G499" s="34" t="s">
        <v>1357</v>
      </c>
      <c r="H499" s="33" t="s">
        <v>1365</v>
      </c>
      <c r="I499" s="33" t="s">
        <v>1364</v>
      </c>
      <c r="J499" s="32" t="s">
        <v>479</v>
      </c>
    </row>
    <row r="500" spans="1:10" ht="15.75" customHeight="1" x14ac:dyDescent="0.3">
      <c r="A500" s="36" t="s">
        <v>1363</v>
      </c>
      <c r="B500" s="35" t="s">
        <v>646</v>
      </c>
      <c r="C500" s="36">
        <v>2008</v>
      </c>
      <c r="D500" s="35" t="s">
        <v>1362</v>
      </c>
      <c r="E500" s="36" t="s">
        <v>1277</v>
      </c>
      <c r="F500" s="36" t="s">
        <v>1276</v>
      </c>
      <c r="G500" s="36" t="s">
        <v>481</v>
      </c>
      <c r="H500" s="35"/>
      <c r="I500" s="35" t="s">
        <v>1361</v>
      </c>
      <c r="J500" s="32" t="s">
        <v>479</v>
      </c>
    </row>
    <row r="501" spans="1:10" ht="15.75" customHeight="1" x14ac:dyDescent="0.3">
      <c r="A501" s="34" t="s">
        <v>1360</v>
      </c>
      <c r="B501" s="33" t="s">
        <v>1359</v>
      </c>
      <c r="C501" s="34">
        <v>2008</v>
      </c>
      <c r="D501" s="33" t="s">
        <v>1358</v>
      </c>
      <c r="E501" s="34" t="s">
        <v>483</v>
      </c>
      <c r="F501" s="34" t="s">
        <v>1276</v>
      </c>
      <c r="G501" s="34" t="s">
        <v>1357</v>
      </c>
      <c r="H501" s="33"/>
      <c r="I501" s="33" t="s">
        <v>1356</v>
      </c>
      <c r="J501" s="32" t="s">
        <v>479</v>
      </c>
    </row>
    <row r="502" spans="1:10" ht="15.75" customHeight="1" x14ac:dyDescent="0.3">
      <c r="A502" s="36" t="s">
        <v>1355</v>
      </c>
      <c r="B502" s="35" t="s">
        <v>1354</v>
      </c>
      <c r="C502" s="36">
        <v>1998</v>
      </c>
      <c r="D502" s="35" t="s">
        <v>1288</v>
      </c>
      <c r="E502" s="36" t="s">
        <v>483</v>
      </c>
      <c r="F502" s="36" t="s">
        <v>1276</v>
      </c>
      <c r="G502" s="36" t="s">
        <v>481</v>
      </c>
      <c r="H502" s="35" t="s">
        <v>1075</v>
      </c>
      <c r="I502" s="35" t="s">
        <v>1353</v>
      </c>
      <c r="J502" s="32" t="s">
        <v>479</v>
      </c>
    </row>
    <row r="503" spans="1:10" ht="15.75" customHeight="1" x14ac:dyDescent="0.3">
      <c r="A503" s="34" t="s">
        <v>1352</v>
      </c>
      <c r="B503" s="33" t="s">
        <v>1351</v>
      </c>
      <c r="C503" s="34">
        <v>1989</v>
      </c>
      <c r="D503" s="33" t="s">
        <v>1350</v>
      </c>
      <c r="E503" s="34" t="s">
        <v>1277</v>
      </c>
      <c r="F503" s="34" t="s">
        <v>1276</v>
      </c>
      <c r="G503" s="34" t="s">
        <v>481</v>
      </c>
      <c r="H503" s="33"/>
      <c r="I503" s="33" t="s">
        <v>1349</v>
      </c>
      <c r="J503" s="32" t="s">
        <v>479</v>
      </c>
    </row>
    <row r="504" spans="1:10" ht="15.75" customHeight="1" x14ac:dyDescent="0.3">
      <c r="A504" s="36" t="s">
        <v>1348</v>
      </c>
      <c r="B504" s="35" t="s">
        <v>1347</v>
      </c>
      <c r="C504" s="36">
        <v>1993</v>
      </c>
      <c r="D504" s="35" t="s">
        <v>1334</v>
      </c>
      <c r="E504" s="36" t="s">
        <v>483</v>
      </c>
      <c r="F504" s="36" t="s">
        <v>1276</v>
      </c>
      <c r="G504" s="36" t="s">
        <v>481</v>
      </c>
      <c r="H504" s="35"/>
      <c r="I504" s="35" t="s">
        <v>1346</v>
      </c>
      <c r="J504" s="32" t="s">
        <v>479</v>
      </c>
    </row>
    <row r="505" spans="1:10" ht="15.75" customHeight="1" x14ac:dyDescent="0.3">
      <c r="A505" s="34" t="s">
        <v>1345</v>
      </c>
      <c r="B505" s="33" t="s">
        <v>1344</v>
      </c>
      <c r="C505" s="34">
        <v>1992</v>
      </c>
      <c r="D505" s="33" t="s">
        <v>1343</v>
      </c>
      <c r="E505" s="34" t="s">
        <v>1277</v>
      </c>
      <c r="F505" s="34" t="s">
        <v>1276</v>
      </c>
      <c r="G505" s="34" t="s">
        <v>481</v>
      </c>
      <c r="H505" s="33" t="s">
        <v>1342</v>
      </c>
      <c r="I505" s="33" t="s">
        <v>1341</v>
      </c>
      <c r="J505" s="32" t="s">
        <v>479</v>
      </c>
    </row>
    <row r="506" spans="1:10" ht="15.75" customHeight="1" x14ac:dyDescent="0.3">
      <c r="A506" s="36" t="s">
        <v>1340</v>
      </c>
      <c r="B506" s="35" t="s">
        <v>1281</v>
      </c>
      <c r="C506" s="36">
        <v>1985</v>
      </c>
      <c r="D506" s="35"/>
      <c r="E506" s="36" t="s">
        <v>483</v>
      </c>
      <c r="F506" s="36" t="s">
        <v>1276</v>
      </c>
      <c r="G506" s="36" t="s">
        <v>481</v>
      </c>
      <c r="H506" s="35"/>
      <c r="I506" s="35" t="s">
        <v>1339</v>
      </c>
      <c r="J506" s="32" t="s">
        <v>479</v>
      </c>
    </row>
    <row r="507" spans="1:10" ht="15.75" customHeight="1" x14ac:dyDescent="0.3">
      <c r="A507" s="34" t="s">
        <v>1338</v>
      </c>
      <c r="B507" s="33" t="s">
        <v>1337</v>
      </c>
      <c r="C507" s="34">
        <v>1983</v>
      </c>
      <c r="D507" s="33"/>
      <c r="E507" s="34" t="s">
        <v>483</v>
      </c>
      <c r="F507" s="34" t="s">
        <v>1276</v>
      </c>
      <c r="G507" s="34" t="s">
        <v>481</v>
      </c>
      <c r="H507" s="33"/>
      <c r="I507" s="33" t="s">
        <v>1336</v>
      </c>
      <c r="J507" s="32" t="s">
        <v>479</v>
      </c>
    </row>
    <row r="508" spans="1:10" ht="15.75" customHeight="1" x14ac:dyDescent="0.3">
      <c r="A508" s="36" t="s">
        <v>1335</v>
      </c>
      <c r="B508" s="35" t="s">
        <v>1310</v>
      </c>
      <c r="C508" s="36">
        <v>1998</v>
      </c>
      <c r="D508" s="35" t="s">
        <v>1334</v>
      </c>
      <c r="E508" s="36" t="s">
        <v>483</v>
      </c>
      <c r="F508" s="36" t="s">
        <v>1276</v>
      </c>
      <c r="G508" s="36" t="s">
        <v>481</v>
      </c>
      <c r="H508" s="35"/>
      <c r="I508" s="35" t="s">
        <v>1333</v>
      </c>
      <c r="J508" s="32" t="s">
        <v>479</v>
      </c>
    </row>
    <row r="509" spans="1:10" ht="15.75" customHeight="1" x14ac:dyDescent="0.3">
      <c r="A509" s="34" t="s">
        <v>1332</v>
      </c>
      <c r="B509" s="33" t="s">
        <v>776</v>
      </c>
      <c r="C509" s="34">
        <v>1996</v>
      </c>
      <c r="D509" s="33" t="s">
        <v>1331</v>
      </c>
      <c r="E509" s="34" t="s">
        <v>483</v>
      </c>
      <c r="F509" s="34" t="s">
        <v>1276</v>
      </c>
      <c r="G509" s="34" t="s">
        <v>481</v>
      </c>
      <c r="H509" s="33" t="s">
        <v>774</v>
      </c>
      <c r="I509" s="33" t="s">
        <v>773</v>
      </c>
      <c r="J509" s="32" t="s">
        <v>479</v>
      </c>
    </row>
    <row r="510" spans="1:10" ht="15.75" customHeight="1" x14ac:dyDescent="0.3">
      <c r="A510" s="36" t="s">
        <v>1330</v>
      </c>
      <c r="B510" s="35" t="s">
        <v>1329</v>
      </c>
      <c r="C510" s="36">
        <v>1983</v>
      </c>
      <c r="D510" s="35" t="s">
        <v>1317</v>
      </c>
      <c r="E510" s="36" t="s">
        <v>483</v>
      </c>
      <c r="F510" s="36" t="s">
        <v>1276</v>
      </c>
      <c r="G510" s="36" t="s">
        <v>481</v>
      </c>
      <c r="H510" s="35"/>
      <c r="I510" s="35" t="s">
        <v>1328</v>
      </c>
      <c r="J510" s="32" t="s">
        <v>479</v>
      </c>
    </row>
    <row r="511" spans="1:10" ht="15.75" customHeight="1" x14ac:dyDescent="0.3">
      <c r="A511" s="34" t="s">
        <v>1327</v>
      </c>
      <c r="B511" s="33" t="s">
        <v>1326</v>
      </c>
      <c r="C511" s="34">
        <v>1987</v>
      </c>
      <c r="D511" s="33"/>
      <c r="E511" s="34" t="s">
        <v>1277</v>
      </c>
      <c r="F511" s="34" t="s">
        <v>1276</v>
      </c>
      <c r="G511" s="34" t="s">
        <v>481</v>
      </c>
      <c r="H511" s="33"/>
      <c r="I511" s="33" t="s">
        <v>1325</v>
      </c>
      <c r="J511" s="32" t="s">
        <v>479</v>
      </c>
    </row>
    <row r="512" spans="1:10" ht="15.75" customHeight="1" x14ac:dyDescent="0.3">
      <c r="A512" s="36" t="s">
        <v>1324</v>
      </c>
      <c r="B512" s="35" t="s">
        <v>1323</v>
      </c>
      <c r="C512" s="36">
        <v>1997</v>
      </c>
      <c r="D512" s="35" t="s">
        <v>1322</v>
      </c>
      <c r="E512" s="36" t="s">
        <v>650</v>
      </c>
      <c r="F512" s="36" t="s">
        <v>1276</v>
      </c>
      <c r="G512" s="36" t="s">
        <v>481</v>
      </c>
      <c r="H512" s="35" t="s">
        <v>1321</v>
      </c>
      <c r="I512" s="35" t="s">
        <v>1320</v>
      </c>
      <c r="J512" s="32" t="s">
        <v>479</v>
      </c>
    </row>
    <row r="513" spans="1:10" ht="15.75" customHeight="1" x14ac:dyDescent="0.3">
      <c r="A513" s="34" t="s">
        <v>1319</v>
      </c>
      <c r="B513" s="33" t="s">
        <v>1318</v>
      </c>
      <c r="C513" s="34">
        <v>1983</v>
      </c>
      <c r="D513" s="33" t="s">
        <v>1317</v>
      </c>
      <c r="E513" s="34" t="s">
        <v>483</v>
      </c>
      <c r="F513" s="34" t="s">
        <v>1276</v>
      </c>
      <c r="G513" s="34" t="s">
        <v>481</v>
      </c>
      <c r="H513" s="33"/>
      <c r="I513" s="33" t="s">
        <v>1316</v>
      </c>
      <c r="J513" s="32" t="s">
        <v>479</v>
      </c>
    </row>
    <row r="514" spans="1:10" ht="15.75" customHeight="1" x14ac:dyDescent="0.3">
      <c r="A514" s="36" t="s">
        <v>1315</v>
      </c>
      <c r="B514" s="35" t="s">
        <v>1314</v>
      </c>
      <c r="C514" s="36">
        <v>1995</v>
      </c>
      <c r="D514" s="35" t="s">
        <v>1313</v>
      </c>
      <c r="E514" s="36" t="s">
        <v>1277</v>
      </c>
      <c r="F514" s="36" t="s">
        <v>1276</v>
      </c>
      <c r="G514" s="36" t="s">
        <v>481</v>
      </c>
      <c r="H514" s="35"/>
      <c r="I514" s="35" t="s">
        <v>1312</v>
      </c>
      <c r="J514" s="32" t="s">
        <v>479</v>
      </c>
    </row>
    <row r="515" spans="1:10" ht="15.75" customHeight="1" x14ac:dyDescent="0.3">
      <c r="A515" s="34" t="s">
        <v>1311</v>
      </c>
      <c r="B515" s="33" t="s">
        <v>1310</v>
      </c>
      <c r="C515" s="34">
        <v>1998</v>
      </c>
      <c r="D515" s="33" t="s">
        <v>1309</v>
      </c>
      <c r="E515" s="34" t="s">
        <v>1277</v>
      </c>
      <c r="F515" s="34" t="s">
        <v>1276</v>
      </c>
      <c r="G515" s="34" t="s">
        <v>481</v>
      </c>
      <c r="H515" s="33"/>
      <c r="I515" s="33" t="s">
        <v>1308</v>
      </c>
      <c r="J515" s="32" t="s">
        <v>479</v>
      </c>
    </row>
    <row r="516" spans="1:10" ht="15.75" customHeight="1" x14ac:dyDescent="0.3">
      <c r="A516" s="36" t="s">
        <v>1307</v>
      </c>
      <c r="B516" s="35" t="s">
        <v>1306</v>
      </c>
      <c r="C516" s="36">
        <v>1986</v>
      </c>
      <c r="D516" s="35" t="s">
        <v>1305</v>
      </c>
      <c r="E516" s="36" t="s">
        <v>483</v>
      </c>
      <c r="F516" s="36" t="s">
        <v>1276</v>
      </c>
      <c r="G516" s="36" t="s">
        <v>481</v>
      </c>
      <c r="H516" s="35"/>
      <c r="I516" s="35" t="s">
        <v>1304</v>
      </c>
      <c r="J516" s="32" t="s">
        <v>479</v>
      </c>
    </row>
    <row r="517" spans="1:10" ht="15.75" customHeight="1" x14ac:dyDescent="0.3">
      <c r="A517" s="34" t="s">
        <v>1303</v>
      </c>
      <c r="B517" s="33" t="s">
        <v>1302</v>
      </c>
      <c r="C517" s="34">
        <v>1997</v>
      </c>
      <c r="D517" s="33" t="s">
        <v>1301</v>
      </c>
      <c r="E517" s="34" t="s">
        <v>483</v>
      </c>
      <c r="F517" s="34" t="s">
        <v>1276</v>
      </c>
      <c r="G517" s="34" t="s">
        <v>481</v>
      </c>
      <c r="H517" s="33" t="s">
        <v>1300</v>
      </c>
      <c r="I517" s="33" t="s">
        <v>1299</v>
      </c>
      <c r="J517" s="32" t="s">
        <v>479</v>
      </c>
    </row>
    <row r="518" spans="1:10" ht="15.75" customHeight="1" x14ac:dyDescent="0.3">
      <c r="A518" s="36" t="s">
        <v>1298</v>
      </c>
      <c r="B518" s="35" t="s">
        <v>845</v>
      </c>
      <c r="C518" s="36">
        <v>1996</v>
      </c>
      <c r="D518" s="35" t="s">
        <v>1297</v>
      </c>
      <c r="E518" s="36" t="s">
        <v>483</v>
      </c>
      <c r="F518" s="36" t="s">
        <v>1276</v>
      </c>
      <c r="G518" s="36" t="s">
        <v>481</v>
      </c>
      <c r="H518" s="35" t="s">
        <v>844</v>
      </c>
      <c r="I518" s="35" t="s">
        <v>1296</v>
      </c>
      <c r="J518" s="32" t="s">
        <v>479</v>
      </c>
    </row>
    <row r="519" spans="1:10" ht="15.75" customHeight="1" x14ac:dyDescent="0.3">
      <c r="A519" s="34" t="s">
        <v>1295</v>
      </c>
      <c r="B519" s="33" t="s">
        <v>1294</v>
      </c>
      <c r="C519" s="34">
        <v>1999</v>
      </c>
      <c r="D519" s="33" t="s">
        <v>1293</v>
      </c>
      <c r="E519" s="34" t="s">
        <v>483</v>
      </c>
      <c r="F519" s="34" t="s">
        <v>1276</v>
      </c>
      <c r="G519" s="34" t="s">
        <v>481</v>
      </c>
      <c r="H519" s="33" t="s">
        <v>1292</v>
      </c>
      <c r="I519" s="33" t="s">
        <v>1291</v>
      </c>
      <c r="J519" s="32" t="s">
        <v>479</v>
      </c>
    </row>
    <row r="520" spans="1:10" ht="15.75" customHeight="1" x14ac:dyDescent="0.3">
      <c r="A520" s="36" t="s">
        <v>1290</v>
      </c>
      <c r="B520" s="35" t="s">
        <v>1289</v>
      </c>
      <c r="C520" s="36">
        <v>1998</v>
      </c>
      <c r="D520" s="35" t="s">
        <v>1288</v>
      </c>
      <c r="E520" s="36" t="s">
        <v>483</v>
      </c>
      <c r="F520" s="36" t="s">
        <v>1276</v>
      </c>
      <c r="G520" s="36" t="s">
        <v>481</v>
      </c>
      <c r="H520" s="35" t="s">
        <v>1133</v>
      </c>
      <c r="I520" s="35" t="s">
        <v>1287</v>
      </c>
      <c r="J520" s="32" t="s">
        <v>479</v>
      </c>
    </row>
    <row r="521" spans="1:10" ht="15.75" customHeight="1" x14ac:dyDescent="0.3">
      <c r="A521" s="34" t="s">
        <v>1286</v>
      </c>
      <c r="B521" s="33" t="s">
        <v>1285</v>
      </c>
      <c r="C521" s="34">
        <v>1992</v>
      </c>
      <c r="D521" s="33" t="s">
        <v>1284</v>
      </c>
      <c r="E521" s="34" t="s">
        <v>1277</v>
      </c>
      <c r="F521" s="34" t="s">
        <v>1276</v>
      </c>
      <c r="G521" s="34" t="s">
        <v>481</v>
      </c>
      <c r="H521" s="33"/>
      <c r="I521" s="33" t="s">
        <v>1283</v>
      </c>
      <c r="J521" s="32" t="s">
        <v>479</v>
      </c>
    </row>
    <row r="522" spans="1:10" ht="15.75" customHeight="1" x14ac:dyDescent="0.3">
      <c r="A522" s="36" t="s">
        <v>1282</v>
      </c>
      <c r="B522" s="35" t="s">
        <v>1281</v>
      </c>
      <c r="C522" s="36">
        <v>1985</v>
      </c>
      <c r="D522" s="35"/>
      <c r="E522" s="36" t="s">
        <v>483</v>
      </c>
      <c r="F522" s="36" t="s">
        <v>1276</v>
      </c>
      <c r="G522" s="36" t="s">
        <v>481</v>
      </c>
      <c r="H522" s="35"/>
      <c r="I522" s="35" t="s">
        <v>1280</v>
      </c>
      <c r="J522" s="32" t="s">
        <v>479</v>
      </c>
    </row>
    <row r="523" spans="1:10" ht="15.75" customHeight="1" x14ac:dyDescent="0.3">
      <c r="A523" s="34" t="s">
        <v>1279</v>
      </c>
      <c r="B523" s="33" t="s">
        <v>1278</v>
      </c>
      <c r="C523" s="34">
        <v>1973</v>
      </c>
      <c r="D523" s="33"/>
      <c r="E523" s="34" t="s">
        <v>1277</v>
      </c>
      <c r="F523" s="34" t="s">
        <v>1276</v>
      </c>
      <c r="G523" s="34" t="s">
        <v>1275</v>
      </c>
      <c r="H523" s="33"/>
      <c r="I523" s="33" t="s">
        <v>1274</v>
      </c>
      <c r="J523" s="32" t="s">
        <v>479</v>
      </c>
    </row>
    <row r="524" spans="1:10" ht="15.75" customHeight="1" x14ac:dyDescent="0.3">
      <c r="A524" s="36" t="s">
        <v>1273</v>
      </c>
      <c r="B524" s="35" t="s">
        <v>1272</v>
      </c>
      <c r="C524" s="36">
        <v>2024</v>
      </c>
      <c r="D524" s="35" t="s">
        <v>1271</v>
      </c>
      <c r="E524" s="36" t="s">
        <v>483</v>
      </c>
      <c r="F524" s="36" t="s">
        <v>482</v>
      </c>
      <c r="G524" s="36" t="s">
        <v>481</v>
      </c>
      <c r="H524" s="35" t="s">
        <v>1270</v>
      </c>
      <c r="I524" s="35" t="s">
        <v>1269</v>
      </c>
      <c r="J524" s="32" t="s">
        <v>479</v>
      </c>
    </row>
    <row r="525" spans="1:10" ht="15.75" customHeight="1" x14ac:dyDescent="0.3">
      <c r="A525" s="34" t="s">
        <v>1268</v>
      </c>
      <c r="B525" s="33" t="s">
        <v>1267</v>
      </c>
      <c r="C525" s="34">
        <v>2012</v>
      </c>
      <c r="D525" s="33" t="s">
        <v>870</v>
      </c>
      <c r="E525" s="34" t="s">
        <v>508</v>
      </c>
      <c r="F525" s="34" t="s">
        <v>482</v>
      </c>
      <c r="G525" s="34" t="s">
        <v>481</v>
      </c>
      <c r="H525" s="33"/>
      <c r="I525" s="33" t="s">
        <v>1266</v>
      </c>
      <c r="J525" s="32" t="s">
        <v>479</v>
      </c>
    </row>
    <row r="526" spans="1:10" ht="15.75" customHeight="1" x14ac:dyDescent="0.3">
      <c r="A526" s="36" t="s">
        <v>1265</v>
      </c>
      <c r="B526" s="35" t="s">
        <v>1264</v>
      </c>
      <c r="C526" s="36">
        <v>2016</v>
      </c>
      <c r="D526" s="35" t="s">
        <v>1022</v>
      </c>
      <c r="E526" s="36" t="s">
        <v>483</v>
      </c>
      <c r="F526" s="36" t="s">
        <v>482</v>
      </c>
      <c r="G526" s="36" t="s">
        <v>481</v>
      </c>
      <c r="H526" s="35" t="s">
        <v>1263</v>
      </c>
      <c r="I526" s="35" t="s">
        <v>1262</v>
      </c>
      <c r="J526" s="32" t="s">
        <v>479</v>
      </c>
    </row>
    <row r="527" spans="1:10" ht="15.75" customHeight="1" x14ac:dyDescent="0.3">
      <c r="A527" s="34" t="s">
        <v>1261</v>
      </c>
      <c r="B527" s="33" t="s">
        <v>1260</v>
      </c>
      <c r="C527" s="34">
        <v>2017</v>
      </c>
      <c r="D527" s="33" t="s">
        <v>1244</v>
      </c>
      <c r="E527" s="34" t="s">
        <v>483</v>
      </c>
      <c r="F527" s="34" t="s">
        <v>482</v>
      </c>
      <c r="G527" s="34" t="s">
        <v>481</v>
      </c>
      <c r="H527" s="33" t="s">
        <v>1259</v>
      </c>
      <c r="I527" s="33" t="s">
        <v>1258</v>
      </c>
      <c r="J527" s="32" t="s">
        <v>479</v>
      </c>
    </row>
    <row r="528" spans="1:10" ht="15.75" customHeight="1" x14ac:dyDescent="0.3">
      <c r="A528" s="36" t="s">
        <v>1257</v>
      </c>
      <c r="B528" s="35" t="s">
        <v>1256</v>
      </c>
      <c r="C528" s="36">
        <v>2010</v>
      </c>
      <c r="D528" s="35" t="s">
        <v>1255</v>
      </c>
      <c r="E528" s="36" t="s">
        <v>508</v>
      </c>
      <c r="F528" s="36" t="s">
        <v>482</v>
      </c>
      <c r="G528" s="36" t="s">
        <v>481</v>
      </c>
      <c r="H528" s="35"/>
      <c r="I528" s="35" t="s">
        <v>1254</v>
      </c>
      <c r="J528" s="32" t="s">
        <v>479</v>
      </c>
    </row>
    <row r="529" spans="1:10" ht="15.75" customHeight="1" x14ac:dyDescent="0.3">
      <c r="A529" s="34" t="s">
        <v>1253</v>
      </c>
      <c r="B529" s="33" t="s">
        <v>1252</v>
      </c>
      <c r="C529" s="34">
        <v>2009</v>
      </c>
      <c r="D529" s="33" t="s">
        <v>1251</v>
      </c>
      <c r="E529" s="34" t="s">
        <v>508</v>
      </c>
      <c r="F529" s="34" t="s">
        <v>482</v>
      </c>
      <c r="G529" s="34" t="s">
        <v>481</v>
      </c>
      <c r="H529" s="33"/>
      <c r="I529" s="33" t="s">
        <v>1250</v>
      </c>
      <c r="J529" s="32" t="s">
        <v>479</v>
      </c>
    </row>
    <row r="530" spans="1:10" ht="15.75" customHeight="1" x14ac:dyDescent="0.3">
      <c r="A530" s="36" t="s">
        <v>1249</v>
      </c>
      <c r="B530" s="35" t="s">
        <v>1248</v>
      </c>
      <c r="C530" s="36">
        <v>1993</v>
      </c>
      <c r="D530" s="35" t="s">
        <v>1247</v>
      </c>
      <c r="E530" s="36" t="s">
        <v>508</v>
      </c>
      <c r="F530" s="36" t="s">
        <v>482</v>
      </c>
      <c r="G530" s="36" t="s">
        <v>481</v>
      </c>
      <c r="H530" s="35"/>
      <c r="I530" s="35"/>
      <c r="J530" s="32" t="s">
        <v>479</v>
      </c>
    </row>
    <row r="531" spans="1:10" ht="15.75" customHeight="1" x14ac:dyDescent="0.3">
      <c r="A531" s="34" t="s">
        <v>1246</v>
      </c>
      <c r="B531" s="33" t="s">
        <v>1245</v>
      </c>
      <c r="C531" s="34">
        <v>2009</v>
      </c>
      <c r="D531" s="33" t="s">
        <v>1244</v>
      </c>
      <c r="E531" s="34" t="s">
        <v>483</v>
      </c>
      <c r="F531" s="34" t="s">
        <v>482</v>
      </c>
      <c r="G531" s="34" t="s">
        <v>481</v>
      </c>
      <c r="H531" s="33" t="s">
        <v>1243</v>
      </c>
      <c r="I531" s="33" t="s">
        <v>1242</v>
      </c>
      <c r="J531" s="32" t="s">
        <v>479</v>
      </c>
    </row>
    <row r="532" spans="1:10" ht="15.75" customHeight="1" x14ac:dyDescent="0.3">
      <c r="A532" s="36" t="s">
        <v>1241</v>
      </c>
      <c r="B532" s="35" t="s">
        <v>1240</v>
      </c>
      <c r="C532" s="36">
        <v>2001</v>
      </c>
      <c r="D532" s="35" t="s">
        <v>503</v>
      </c>
      <c r="E532" s="36" t="s">
        <v>483</v>
      </c>
      <c r="F532" s="36" t="s">
        <v>482</v>
      </c>
      <c r="G532" s="36" t="s">
        <v>481</v>
      </c>
      <c r="H532" s="35" t="s">
        <v>1239</v>
      </c>
      <c r="I532" s="35" t="s">
        <v>1238</v>
      </c>
      <c r="J532" s="32" t="s">
        <v>479</v>
      </c>
    </row>
    <row r="533" spans="1:10" ht="15.75" customHeight="1" x14ac:dyDescent="0.3">
      <c r="A533" s="34" t="s">
        <v>1237</v>
      </c>
      <c r="B533" s="33" t="s">
        <v>1236</v>
      </c>
      <c r="C533" s="34">
        <v>2022</v>
      </c>
      <c r="D533" s="33" t="s">
        <v>808</v>
      </c>
      <c r="E533" s="34" t="s">
        <v>483</v>
      </c>
      <c r="F533" s="34" t="s">
        <v>482</v>
      </c>
      <c r="G533" s="34" t="s">
        <v>481</v>
      </c>
      <c r="H533" s="33" t="s">
        <v>1235</v>
      </c>
      <c r="I533" s="33" t="s">
        <v>1234</v>
      </c>
      <c r="J533" s="32" t="s">
        <v>479</v>
      </c>
    </row>
    <row r="534" spans="1:10" ht="15.75" customHeight="1" x14ac:dyDescent="0.3">
      <c r="A534" s="36" t="s">
        <v>1233</v>
      </c>
      <c r="B534" s="35" t="s">
        <v>1232</v>
      </c>
      <c r="C534" s="36">
        <v>2008</v>
      </c>
      <c r="D534" s="35" t="s">
        <v>1142</v>
      </c>
      <c r="E534" s="36" t="s">
        <v>508</v>
      </c>
      <c r="F534" s="36" t="s">
        <v>482</v>
      </c>
      <c r="G534" s="36" t="s">
        <v>481</v>
      </c>
      <c r="H534" s="35"/>
      <c r="I534" s="35" t="s">
        <v>1231</v>
      </c>
      <c r="J534" s="32" t="s">
        <v>479</v>
      </c>
    </row>
    <row r="535" spans="1:10" ht="15.75" customHeight="1" x14ac:dyDescent="0.3">
      <c r="A535" s="34" t="s">
        <v>1230</v>
      </c>
      <c r="B535" s="33" t="s">
        <v>1229</v>
      </c>
      <c r="C535" s="34">
        <v>2011</v>
      </c>
      <c r="D535" s="33" t="s">
        <v>1228</v>
      </c>
      <c r="E535" s="34" t="s">
        <v>483</v>
      </c>
      <c r="F535" s="34" t="s">
        <v>482</v>
      </c>
      <c r="G535" s="34" t="s">
        <v>481</v>
      </c>
      <c r="H535" s="33" t="s">
        <v>1227</v>
      </c>
      <c r="I535" s="33" t="s">
        <v>1226</v>
      </c>
      <c r="J535" s="32" t="s">
        <v>479</v>
      </c>
    </row>
    <row r="536" spans="1:10" ht="15.75" customHeight="1" x14ac:dyDescent="0.3">
      <c r="A536" s="36" t="s">
        <v>1225</v>
      </c>
      <c r="B536" s="35" t="s">
        <v>1224</v>
      </c>
      <c r="C536" s="36">
        <v>2009</v>
      </c>
      <c r="D536" s="35" t="s">
        <v>1223</v>
      </c>
      <c r="E536" s="36" t="s">
        <v>483</v>
      </c>
      <c r="F536" s="36" t="s">
        <v>482</v>
      </c>
      <c r="G536" s="36" t="s">
        <v>481</v>
      </c>
      <c r="H536" s="35" t="s">
        <v>1222</v>
      </c>
      <c r="I536" s="35" t="s">
        <v>1221</v>
      </c>
      <c r="J536" s="32" t="s">
        <v>479</v>
      </c>
    </row>
    <row r="537" spans="1:10" ht="15.75" customHeight="1" x14ac:dyDescent="0.3">
      <c r="A537" s="34" t="s">
        <v>1220</v>
      </c>
      <c r="B537" s="33" t="s">
        <v>1219</v>
      </c>
      <c r="C537" s="34">
        <v>2012</v>
      </c>
      <c r="D537" s="33" t="s">
        <v>1022</v>
      </c>
      <c r="E537" s="34" t="s">
        <v>483</v>
      </c>
      <c r="F537" s="34" t="s">
        <v>482</v>
      </c>
      <c r="G537" s="34" t="s">
        <v>481</v>
      </c>
      <c r="H537" s="33" t="s">
        <v>1218</v>
      </c>
      <c r="I537" s="33" t="s">
        <v>1217</v>
      </c>
      <c r="J537" s="32" t="s">
        <v>479</v>
      </c>
    </row>
    <row r="538" spans="1:10" ht="15.75" customHeight="1" x14ac:dyDescent="0.3">
      <c r="A538" s="36" t="s">
        <v>1216</v>
      </c>
      <c r="B538" s="35" t="s">
        <v>1215</v>
      </c>
      <c r="C538" s="36">
        <v>2021</v>
      </c>
      <c r="D538" s="35" t="s">
        <v>1022</v>
      </c>
      <c r="E538" s="36" t="s">
        <v>483</v>
      </c>
      <c r="F538" s="36" t="s">
        <v>482</v>
      </c>
      <c r="G538" s="36" t="s">
        <v>481</v>
      </c>
      <c r="H538" s="35" t="s">
        <v>1214</v>
      </c>
      <c r="I538" s="35" t="s">
        <v>1213</v>
      </c>
      <c r="J538" s="32" t="s">
        <v>479</v>
      </c>
    </row>
    <row r="539" spans="1:10" ht="15.75" customHeight="1" x14ac:dyDescent="0.3">
      <c r="A539" s="34" t="s">
        <v>1212</v>
      </c>
      <c r="B539" s="33" t="s">
        <v>1211</v>
      </c>
      <c r="C539" s="34">
        <v>2019</v>
      </c>
      <c r="D539" s="33" t="s">
        <v>1210</v>
      </c>
      <c r="E539" s="34" t="s">
        <v>508</v>
      </c>
      <c r="F539" s="34" t="s">
        <v>482</v>
      </c>
      <c r="G539" s="34" t="s">
        <v>481</v>
      </c>
      <c r="H539" s="33" t="s">
        <v>1209</v>
      </c>
      <c r="I539" s="33" t="s">
        <v>1208</v>
      </c>
      <c r="J539" s="32" t="s">
        <v>479</v>
      </c>
    </row>
    <row r="540" spans="1:10" ht="15.75" customHeight="1" x14ac:dyDescent="0.3">
      <c r="A540" s="36" t="s">
        <v>1207</v>
      </c>
      <c r="B540" s="35" t="s">
        <v>1206</v>
      </c>
      <c r="C540" s="36">
        <v>2006</v>
      </c>
      <c r="D540" s="35" t="s">
        <v>503</v>
      </c>
      <c r="E540" s="36" t="s">
        <v>533</v>
      </c>
      <c r="F540" s="36" t="s">
        <v>482</v>
      </c>
      <c r="G540" s="36" t="s">
        <v>481</v>
      </c>
      <c r="H540" s="35" t="s">
        <v>1205</v>
      </c>
      <c r="I540" s="35" t="s">
        <v>1204</v>
      </c>
      <c r="J540" s="32" t="s">
        <v>479</v>
      </c>
    </row>
    <row r="541" spans="1:10" ht="15.75" customHeight="1" x14ac:dyDescent="0.3">
      <c r="A541" s="34" t="s">
        <v>1203</v>
      </c>
      <c r="B541" s="33" t="s">
        <v>1202</v>
      </c>
      <c r="C541" s="34">
        <v>2022</v>
      </c>
      <c r="D541" s="33" t="s">
        <v>1201</v>
      </c>
      <c r="E541" s="34" t="s">
        <v>508</v>
      </c>
      <c r="F541" s="34" t="s">
        <v>482</v>
      </c>
      <c r="G541" s="34" t="s">
        <v>481</v>
      </c>
      <c r="H541" s="33" t="s">
        <v>1200</v>
      </c>
      <c r="I541" s="33" t="s">
        <v>1199</v>
      </c>
      <c r="J541" s="32" t="s">
        <v>479</v>
      </c>
    </row>
    <row r="542" spans="1:10" ht="15.75" customHeight="1" x14ac:dyDescent="0.3">
      <c r="A542" s="36" t="s">
        <v>1198</v>
      </c>
      <c r="B542" s="35" t="s">
        <v>1197</v>
      </c>
      <c r="C542" s="36">
        <v>2016</v>
      </c>
      <c r="D542" s="35" t="s">
        <v>575</v>
      </c>
      <c r="E542" s="36" t="s">
        <v>483</v>
      </c>
      <c r="F542" s="36" t="s">
        <v>482</v>
      </c>
      <c r="G542" s="36" t="s">
        <v>481</v>
      </c>
      <c r="H542" s="35" t="s">
        <v>1196</v>
      </c>
      <c r="I542" s="35" t="s">
        <v>1195</v>
      </c>
      <c r="J542" s="32" t="s">
        <v>479</v>
      </c>
    </row>
    <row r="543" spans="1:10" ht="15.75" customHeight="1" x14ac:dyDescent="0.3">
      <c r="A543" s="34" t="s">
        <v>1194</v>
      </c>
      <c r="B543" s="33" t="s">
        <v>1193</v>
      </c>
      <c r="C543" s="34">
        <v>2013</v>
      </c>
      <c r="D543" s="33" t="s">
        <v>1192</v>
      </c>
      <c r="E543" s="34" t="s">
        <v>508</v>
      </c>
      <c r="F543" s="34" t="s">
        <v>482</v>
      </c>
      <c r="G543" s="34" t="s">
        <v>481</v>
      </c>
      <c r="H543" s="33"/>
      <c r="I543" s="33" t="s">
        <v>1191</v>
      </c>
      <c r="J543" s="32" t="s">
        <v>479</v>
      </c>
    </row>
    <row r="544" spans="1:10" ht="15.75" customHeight="1" x14ac:dyDescent="0.3">
      <c r="A544" s="36" t="s">
        <v>1190</v>
      </c>
      <c r="B544" s="35" t="s">
        <v>1189</v>
      </c>
      <c r="C544" s="36">
        <v>2019</v>
      </c>
      <c r="D544" s="35" t="s">
        <v>1188</v>
      </c>
      <c r="E544" s="36" t="s">
        <v>508</v>
      </c>
      <c r="F544" s="36" t="s">
        <v>482</v>
      </c>
      <c r="G544" s="36" t="s">
        <v>481</v>
      </c>
      <c r="H544" s="35" t="s">
        <v>1187</v>
      </c>
      <c r="I544" s="35" t="s">
        <v>1186</v>
      </c>
      <c r="J544" s="32" t="s">
        <v>479</v>
      </c>
    </row>
    <row r="545" spans="1:10" ht="15.75" customHeight="1" x14ac:dyDescent="0.3">
      <c r="A545" s="34" t="s">
        <v>1185</v>
      </c>
      <c r="B545" s="33" t="s">
        <v>1184</v>
      </c>
      <c r="C545" s="34">
        <v>2025</v>
      </c>
      <c r="D545" s="33" t="s">
        <v>1086</v>
      </c>
      <c r="E545" s="34" t="s">
        <v>483</v>
      </c>
      <c r="F545" s="34" t="s">
        <v>482</v>
      </c>
      <c r="G545" s="34" t="s">
        <v>481</v>
      </c>
      <c r="H545" s="33" t="s">
        <v>1183</v>
      </c>
      <c r="I545" s="33" t="s">
        <v>1182</v>
      </c>
      <c r="J545" s="32" t="s">
        <v>479</v>
      </c>
    </row>
    <row r="546" spans="1:10" ht="15.75" customHeight="1" x14ac:dyDescent="0.3">
      <c r="A546" s="36" t="s">
        <v>1181</v>
      </c>
      <c r="B546" s="35" t="s">
        <v>1180</v>
      </c>
      <c r="C546" s="36">
        <v>2015</v>
      </c>
      <c r="D546" s="35" t="s">
        <v>1022</v>
      </c>
      <c r="E546" s="36" t="s">
        <v>483</v>
      </c>
      <c r="F546" s="36" t="s">
        <v>482</v>
      </c>
      <c r="G546" s="36" t="s">
        <v>481</v>
      </c>
      <c r="H546" s="35" t="s">
        <v>1179</v>
      </c>
      <c r="I546" s="35" t="s">
        <v>1178</v>
      </c>
      <c r="J546" s="32" t="s">
        <v>479</v>
      </c>
    </row>
    <row r="547" spans="1:10" ht="15.75" customHeight="1" x14ac:dyDescent="0.3">
      <c r="A547" s="34" t="s">
        <v>1177</v>
      </c>
      <c r="B547" s="33" t="s">
        <v>1176</v>
      </c>
      <c r="C547" s="34">
        <v>2017</v>
      </c>
      <c r="D547" s="33" t="s">
        <v>1175</v>
      </c>
      <c r="E547" s="34" t="s">
        <v>508</v>
      </c>
      <c r="F547" s="34" t="s">
        <v>482</v>
      </c>
      <c r="G547" s="34" t="s">
        <v>481</v>
      </c>
      <c r="H547" s="33" t="s">
        <v>1174</v>
      </c>
      <c r="I547" s="33" t="s">
        <v>1173</v>
      </c>
      <c r="J547" s="32" t="s">
        <v>479</v>
      </c>
    </row>
    <row r="548" spans="1:10" ht="15.75" customHeight="1" x14ac:dyDescent="0.3">
      <c r="A548" s="36" t="s">
        <v>1172</v>
      </c>
      <c r="B548" s="35" t="s">
        <v>1171</v>
      </c>
      <c r="C548" s="36">
        <v>2008</v>
      </c>
      <c r="D548" s="35" t="s">
        <v>1170</v>
      </c>
      <c r="E548" s="36" t="s">
        <v>508</v>
      </c>
      <c r="F548" s="36" t="s">
        <v>482</v>
      </c>
      <c r="G548" s="36" t="s">
        <v>481</v>
      </c>
      <c r="H548" s="35"/>
      <c r="I548" s="35" t="s">
        <v>1169</v>
      </c>
      <c r="J548" s="32" t="s">
        <v>479</v>
      </c>
    </row>
    <row r="549" spans="1:10" ht="15.75" customHeight="1" x14ac:dyDescent="0.3">
      <c r="A549" s="34" t="s">
        <v>1168</v>
      </c>
      <c r="B549" s="33" t="s">
        <v>1167</v>
      </c>
      <c r="C549" s="34">
        <v>1998</v>
      </c>
      <c r="D549" s="33" t="s">
        <v>1166</v>
      </c>
      <c r="E549" s="34" t="s">
        <v>508</v>
      </c>
      <c r="F549" s="34" t="s">
        <v>482</v>
      </c>
      <c r="G549" s="34" t="s">
        <v>481</v>
      </c>
      <c r="H549" s="33"/>
      <c r="I549" s="33" t="s">
        <v>1165</v>
      </c>
      <c r="J549" s="32" t="s">
        <v>479</v>
      </c>
    </row>
    <row r="550" spans="1:10" ht="15.75" customHeight="1" x14ac:dyDescent="0.3">
      <c r="A550" s="36" t="s">
        <v>1164</v>
      </c>
      <c r="B550" s="35" t="s">
        <v>1163</v>
      </c>
      <c r="C550" s="36">
        <v>2025</v>
      </c>
      <c r="D550" s="35" t="s">
        <v>1086</v>
      </c>
      <c r="E550" s="36" t="s">
        <v>483</v>
      </c>
      <c r="F550" s="36" t="s">
        <v>482</v>
      </c>
      <c r="G550" s="36" t="s">
        <v>481</v>
      </c>
      <c r="H550" s="35" t="s">
        <v>1162</v>
      </c>
      <c r="I550" s="35" t="s">
        <v>1161</v>
      </c>
      <c r="J550" s="32" t="s">
        <v>479</v>
      </c>
    </row>
    <row r="551" spans="1:10" ht="15.75" customHeight="1" x14ac:dyDescent="0.3">
      <c r="A551" s="34" t="s">
        <v>1160</v>
      </c>
      <c r="B551" s="33" t="s">
        <v>1159</v>
      </c>
      <c r="C551" s="34">
        <v>2017</v>
      </c>
      <c r="D551" s="33" t="s">
        <v>575</v>
      </c>
      <c r="E551" s="34" t="s">
        <v>533</v>
      </c>
      <c r="F551" s="34" t="s">
        <v>482</v>
      </c>
      <c r="G551" s="34" t="s">
        <v>481</v>
      </c>
      <c r="H551" s="33" t="s">
        <v>1158</v>
      </c>
      <c r="I551" s="33" t="s">
        <v>1157</v>
      </c>
      <c r="J551" s="32" t="s">
        <v>479</v>
      </c>
    </row>
    <row r="552" spans="1:10" ht="15.75" customHeight="1" x14ac:dyDescent="0.3">
      <c r="A552" s="36" t="s">
        <v>1156</v>
      </c>
      <c r="B552" s="35" t="s">
        <v>1155</v>
      </c>
      <c r="C552" s="36">
        <v>2018</v>
      </c>
      <c r="D552" s="35" t="s">
        <v>1154</v>
      </c>
      <c r="E552" s="36" t="s">
        <v>508</v>
      </c>
      <c r="F552" s="36" t="s">
        <v>482</v>
      </c>
      <c r="G552" s="36" t="s">
        <v>481</v>
      </c>
      <c r="H552" s="35"/>
      <c r="I552" s="35" t="s">
        <v>1153</v>
      </c>
      <c r="J552" s="32" t="s">
        <v>479</v>
      </c>
    </row>
    <row r="553" spans="1:10" ht="15.75" customHeight="1" x14ac:dyDescent="0.3">
      <c r="A553" s="34" t="s">
        <v>1152</v>
      </c>
      <c r="B553" s="33" t="s">
        <v>1151</v>
      </c>
      <c r="C553" s="34">
        <v>2018</v>
      </c>
      <c r="D553" s="33" t="s">
        <v>1150</v>
      </c>
      <c r="E553" s="34" t="s">
        <v>508</v>
      </c>
      <c r="F553" s="34" t="s">
        <v>482</v>
      </c>
      <c r="G553" s="34" t="s">
        <v>481</v>
      </c>
      <c r="H553" s="33" t="s">
        <v>1149</v>
      </c>
      <c r="I553" s="33" t="s">
        <v>1148</v>
      </c>
      <c r="J553" s="32" t="s">
        <v>479</v>
      </c>
    </row>
    <row r="554" spans="1:10" ht="15.75" customHeight="1" x14ac:dyDescent="0.3">
      <c r="A554" s="36" t="s">
        <v>1147</v>
      </c>
      <c r="B554" s="35" t="s">
        <v>1146</v>
      </c>
      <c r="C554" s="36">
        <v>2005</v>
      </c>
      <c r="D554" s="35" t="s">
        <v>588</v>
      </c>
      <c r="E554" s="36" t="s">
        <v>508</v>
      </c>
      <c r="F554" s="36" t="s">
        <v>482</v>
      </c>
      <c r="G554" s="36" t="s">
        <v>481</v>
      </c>
      <c r="H554" s="35"/>
      <c r="I554" s="35" t="s">
        <v>1145</v>
      </c>
      <c r="J554" s="32" t="s">
        <v>479</v>
      </c>
    </row>
    <row r="555" spans="1:10" ht="15.75" customHeight="1" x14ac:dyDescent="0.3">
      <c r="A555" s="34" t="s">
        <v>1144</v>
      </c>
      <c r="B555" s="33" t="s">
        <v>1143</v>
      </c>
      <c r="C555" s="34">
        <v>2008</v>
      </c>
      <c r="D555" s="33" t="s">
        <v>1142</v>
      </c>
      <c r="E555" s="34" t="s">
        <v>508</v>
      </c>
      <c r="F555" s="34" t="s">
        <v>482</v>
      </c>
      <c r="G555" s="34" t="s">
        <v>481</v>
      </c>
      <c r="H555" s="33"/>
      <c r="I555" s="33" t="s">
        <v>1141</v>
      </c>
      <c r="J555" s="32" t="s">
        <v>479</v>
      </c>
    </row>
    <row r="556" spans="1:10" ht="15.75" customHeight="1" x14ac:dyDescent="0.3">
      <c r="A556" s="36" t="s">
        <v>1140</v>
      </c>
      <c r="B556" s="35" t="s">
        <v>1139</v>
      </c>
      <c r="C556" s="36">
        <v>2020</v>
      </c>
      <c r="D556" s="35" t="s">
        <v>1138</v>
      </c>
      <c r="E556" s="36" t="s">
        <v>508</v>
      </c>
      <c r="F556" s="36" t="s">
        <v>482</v>
      </c>
      <c r="G556" s="36" t="s">
        <v>481</v>
      </c>
      <c r="H556" s="35" t="s">
        <v>1137</v>
      </c>
      <c r="I556" s="35" t="s">
        <v>1136</v>
      </c>
      <c r="J556" s="32" t="s">
        <v>479</v>
      </c>
    </row>
    <row r="557" spans="1:10" ht="15.75" customHeight="1" x14ac:dyDescent="0.3">
      <c r="A557" s="34" t="s">
        <v>1135</v>
      </c>
      <c r="B557" s="33" t="s">
        <v>1134</v>
      </c>
      <c r="C557" s="34">
        <v>1998</v>
      </c>
      <c r="D557" s="33" t="s">
        <v>1076</v>
      </c>
      <c r="E557" s="34" t="s">
        <v>483</v>
      </c>
      <c r="F557" s="34" t="s">
        <v>482</v>
      </c>
      <c r="G557" s="34" t="s">
        <v>481</v>
      </c>
      <c r="H557" s="33" t="s">
        <v>1133</v>
      </c>
      <c r="I557" s="33" t="s">
        <v>1132</v>
      </c>
      <c r="J557" s="32" t="s">
        <v>479</v>
      </c>
    </row>
    <row r="558" spans="1:10" ht="15.75" customHeight="1" x14ac:dyDescent="0.3">
      <c r="A558" s="36" t="s">
        <v>1131</v>
      </c>
      <c r="B558" s="35" t="s">
        <v>1130</v>
      </c>
      <c r="C558" s="36">
        <v>2019</v>
      </c>
      <c r="D558" s="35" t="s">
        <v>1129</v>
      </c>
      <c r="E558" s="36" t="s">
        <v>508</v>
      </c>
      <c r="F558" s="36" t="s">
        <v>482</v>
      </c>
      <c r="G558" s="36" t="s">
        <v>481</v>
      </c>
      <c r="H558" s="35"/>
      <c r="I558" s="35" t="s">
        <v>1128</v>
      </c>
      <c r="J558" s="32" t="s">
        <v>479</v>
      </c>
    </row>
    <row r="559" spans="1:10" ht="15.75" customHeight="1" x14ac:dyDescent="0.3">
      <c r="A559" s="34" t="s">
        <v>275</v>
      </c>
      <c r="B559" s="33" t="s">
        <v>1127</v>
      </c>
      <c r="C559" s="34">
        <v>2025</v>
      </c>
      <c r="D559" s="33" t="s">
        <v>1126</v>
      </c>
      <c r="E559" s="34" t="s">
        <v>483</v>
      </c>
      <c r="F559" s="34" t="s">
        <v>482</v>
      </c>
      <c r="G559" s="34" t="s">
        <v>481</v>
      </c>
      <c r="H559" s="33" t="s">
        <v>1125</v>
      </c>
      <c r="I559" s="33" t="s">
        <v>1124</v>
      </c>
      <c r="J559" s="32" t="s">
        <v>479</v>
      </c>
    </row>
    <row r="560" spans="1:10" ht="15.75" customHeight="1" x14ac:dyDescent="0.3">
      <c r="A560" s="36" t="s">
        <v>1123</v>
      </c>
      <c r="B560" s="35" t="s">
        <v>1122</v>
      </c>
      <c r="C560" s="36">
        <v>2018</v>
      </c>
      <c r="D560" s="35" t="s">
        <v>1121</v>
      </c>
      <c r="E560" s="36" t="s">
        <v>508</v>
      </c>
      <c r="F560" s="36" t="s">
        <v>482</v>
      </c>
      <c r="G560" s="36" t="s">
        <v>481</v>
      </c>
      <c r="H560" s="35"/>
      <c r="I560" s="35" t="s">
        <v>1120</v>
      </c>
      <c r="J560" s="32" t="s">
        <v>479</v>
      </c>
    </row>
    <row r="561" spans="1:10" ht="15.75" customHeight="1" x14ac:dyDescent="0.3">
      <c r="A561" s="34" t="s">
        <v>1119</v>
      </c>
      <c r="B561" s="33" t="s">
        <v>1118</v>
      </c>
      <c r="C561" s="34">
        <v>2013</v>
      </c>
      <c r="D561" s="33" t="s">
        <v>1117</v>
      </c>
      <c r="E561" s="34" t="s">
        <v>508</v>
      </c>
      <c r="F561" s="34" t="s">
        <v>482</v>
      </c>
      <c r="G561" s="34" t="s">
        <v>481</v>
      </c>
      <c r="H561" s="33" t="s">
        <v>1116</v>
      </c>
      <c r="I561" s="33" t="s">
        <v>1115</v>
      </c>
      <c r="J561" s="32" t="s">
        <v>479</v>
      </c>
    </row>
    <row r="562" spans="1:10" ht="15.75" customHeight="1" x14ac:dyDescent="0.3">
      <c r="A562" s="36" t="s">
        <v>1114</v>
      </c>
      <c r="B562" s="35" t="s">
        <v>1113</v>
      </c>
      <c r="C562" s="36">
        <v>2019</v>
      </c>
      <c r="D562" s="35" t="s">
        <v>961</v>
      </c>
      <c r="E562" s="36" t="s">
        <v>483</v>
      </c>
      <c r="F562" s="36" t="s">
        <v>482</v>
      </c>
      <c r="G562" s="36" t="s">
        <v>481</v>
      </c>
      <c r="H562" s="35" t="s">
        <v>1112</v>
      </c>
      <c r="I562" s="35" t="s">
        <v>1111</v>
      </c>
      <c r="J562" s="32" t="s">
        <v>479</v>
      </c>
    </row>
    <row r="563" spans="1:10" ht="15.75" customHeight="1" x14ac:dyDescent="0.3">
      <c r="A563" s="34" t="s">
        <v>1110</v>
      </c>
      <c r="B563" s="33" t="s">
        <v>1109</v>
      </c>
      <c r="C563" s="34">
        <v>2015</v>
      </c>
      <c r="D563" s="33" t="s">
        <v>1108</v>
      </c>
      <c r="E563" s="34" t="s">
        <v>483</v>
      </c>
      <c r="F563" s="34" t="s">
        <v>482</v>
      </c>
      <c r="G563" s="34" t="s">
        <v>481</v>
      </c>
      <c r="H563" s="33" t="s">
        <v>1107</v>
      </c>
      <c r="I563" s="33" t="s">
        <v>1106</v>
      </c>
      <c r="J563" s="32" t="s">
        <v>479</v>
      </c>
    </row>
    <row r="564" spans="1:10" ht="15.75" customHeight="1" x14ac:dyDescent="0.3">
      <c r="A564" s="36" t="s">
        <v>1105</v>
      </c>
      <c r="B564" s="35" t="s">
        <v>1104</v>
      </c>
      <c r="C564" s="36">
        <v>2021</v>
      </c>
      <c r="D564" s="35" t="s">
        <v>1103</v>
      </c>
      <c r="E564" s="36" t="s">
        <v>483</v>
      </c>
      <c r="F564" s="36" t="s">
        <v>482</v>
      </c>
      <c r="G564" s="36" t="s">
        <v>481</v>
      </c>
      <c r="H564" s="35" t="s">
        <v>1102</v>
      </c>
      <c r="I564" s="35" t="s">
        <v>1101</v>
      </c>
      <c r="J564" s="32" t="s">
        <v>479</v>
      </c>
    </row>
    <row r="565" spans="1:10" ht="15.75" customHeight="1" x14ac:dyDescent="0.3">
      <c r="A565" s="34" t="s">
        <v>1100</v>
      </c>
      <c r="B565" s="33" t="s">
        <v>1099</v>
      </c>
      <c r="C565" s="34">
        <v>2016</v>
      </c>
      <c r="D565" s="33" t="s">
        <v>1098</v>
      </c>
      <c r="E565" s="34" t="s">
        <v>508</v>
      </c>
      <c r="F565" s="34" t="s">
        <v>482</v>
      </c>
      <c r="G565" s="34" t="s">
        <v>481</v>
      </c>
      <c r="H565" s="33"/>
      <c r="I565" s="33" t="s">
        <v>1097</v>
      </c>
      <c r="J565" s="32" t="s">
        <v>479</v>
      </c>
    </row>
    <row r="566" spans="1:10" ht="15.75" customHeight="1" x14ac:dyDescent="0.3">
      <c r="A566" s="36" t="s">
        <v>1096</v>
      </c>
      <c r="B566" s="35" t="s">
        <v>1095</v>
      </c>
      <c r="C566" s="36">
        <v>2015</v>
      </c>
      <c r="D566" s="35" t="s">
        <v>1094</v>
      </c>
      <c r="E566" s="36" t="s">
        <v>508</v>
      </c>
      <c r="F566" s="36" t="s">
        <v>482</v>
      </c>
      <c r="G566" s="36" t="s">
        <v>481</v>
      </c>
      <c r="H566" s="35"/>
      <c r="I566" s="35" t="s">
        <v>1093</v>
      </c>
      <c r="J566" s="32" t="s">
        <v>479</v>
      </c>
    </row>
    <row r="567" spans="1:10" ht="15.75" customHeight="1" x14ac:dyDescent="0.3">
      <c r="A567" s="34" t="s">
        <v>1092</v>
      </c>
      <c r="B567" s="33" t="s">
        <v>1091</v>
      </c>
      <c r="C567" s="34">
        <v>2008</v>
      </c>
      <c r="D567" s="33" t="s">
        <v>1090</v>
      </c>
      <c r="E567" s="34" t="s">
        <v>508</v>
      </c>
      <c r="F567" s="34" t="s">
        <v>482</v>
      </c>
      <c r="G567" s="34" t="s">
        <v>481</v>
      </c>
      <c r="H567" s="33"/>
      <c r="I567" s="33" t="s">
        <v>1089</v>
      </c>
      <c r="J567" s="32" t="s">
        <v>479</v>
      </c>
    </row>
    <row r="568" spans="1:10" ht="15.75" customHeight="1" x14ac:dyDescent="0.3">
      <c r="A568" s="36" t="s">
        <v>1088</v>
      </c>
      <c r="B568" s="35" t="s">
        <v>1087</v>
      </c>
      <c r="C568" s="36">
        <v>2023</v>
      </c>
      <c r="D568" s="35" t="s">
        <v>1086</v>
      </c>
      <c r="E568" s="36" t="s">
        <v>483</v>
      </c>
      <c r="F568" s="36" t="s">
        <v>482</v>
      </c>
      <c r="G568" s="36" t="s">
        <v>481</v>
      </c>
      <c r="H568" s="35" t="s">
        <v>1085</v>
      </c>
      <c r="I568" s="35" t="s">
        <v>1084</v>
      </c>
      <c r="J568" s="32" t="s">
        <v>479</v>
      </c>
    </row>
    <row r="569" spans="1:10" ht="15.75" customHeight="1" x14ac:dyDescent="0.3">
      <c r="A569" s="34" t="s">
        <v>1083</v>
      </c>
      <c r="B569" s="33" t="s">
        <v>1082</v>
      </c>
      <c r="C569" s="34">
        <v>2017</v>
      </c>
      <c r="D569" s="33" t="s">
        <v>1081</v>
      </c>
      <c r="E569" s="34" t="s">
        <v>508</v>
      </c>
      <c r="F569" s="34" t="s">
        <v>482</v>
      </c>
      <c r="G569" s="34" t="s">
        <v>481</v>
      </c>
      <c r="H569" s="33" t="s">
        <v>1080</v>
      </c>
      <c r="I569" s="33" t="s">
        <v>1079</v>
      </c>
      <c r="J569" s="32" t="s">
        <v>479</v>
      </c>
    </row>
    <row r="570" spans="1:10" ht="15.75" customHeight="1" x14ac:dyDescent="0.3">
      <c r="A570" s="36" t="s">
        <v>1078</v>
      </c>
      <c r="B570" s="35" t="s">
        <v>1077</v>
      </c>
      <c r="C570" s="36">
        <v>1998</v>
      </c>
      <c r="D570" s="35" t="s">
        <v>1076</v>
      </c>
      <c r="E570" s="36" t="s">
        <v>483</v>
      </c>
      <c r="F570" s="36" t="s">
        <v>482</v>
      </c>
      <c r="G570" s="36" t="s">
        <v>481</v>
      </c>
      <c r="H570" s="35" t="s">
        <v>1075</v>
      </c>
      <c r="I570" s="35" t="s">
        <v>1074</v>
      </c>
      <c r="J570" s="32" t="s">
        <v>479</v>
      </c>
    </row>
    <row r="571" spans="1:10" ht="15.75" customHeight="1" x14ac:dyDescent="0.3">
      <c r="A571" s="34" t="s">
        <v>1073</v>
      </c>
      <c r="B571" s="33" t="s">
        <v>1072</v>
      </c>
      <c r="C571" s="34">
        <v>2017</v>
      </c>
      <c r="D571" s="33" t="s">
        <v>1071</v>
      </c>
      <c r="E571" s="34" t="s">
        <v>483</v>
      </c>
      <c r="F571" s="34" t="s">
        <v>482</v>
      </c>
      <c r="G571" s="34" t="s">
        <v>481</v>
      </c>
      <c r="H571" s="33" t="s">
        <v>1070</v>
      </c>
      <c r="I571" s="33" t="s">
        <v>1069</v>
      </c>
      <c r="J571" s="32" t="s">
        <v>479</v>
      </c>
    </row>
    <row r="572" spans="1:10" ht="15.75" customHeight="1" x14ac:dyDescent="0.3">
      <c r="A572" s="36" t="s">
        <v>1068</v>
      </c>
      <c r="B572" s="35" t="s">
        <v>1067</v>
      </c>
      <c r="C572" s="36">
        <v>2018</v>
      </c>
      <c r="D572" s="35" t="s">
        <v>1066</v>
      </c>
      <c r="E572" s="36" t="s">
        <v>508</v>
      </c>
      <c r="F572" s="36" t="s">
        <v>482</v>
      </c>
      <c r="G572" s="36" t="s">
        <v>481</v>
      </c>
      <c r="H572" s="35"/>
      <c r="I572" s="35" t="s">
        <v>1065</v>
      </c>
      <c r="J572" s="32" t="s">
        <v>479</v>
      </c>
    </row>
    <row r="573" spans="1:10" ht="15.75" customHeight="1" x14ac:dyDescent="0.3">
      <c r="A573" s="34" t="s">
        <v>1064</v>
      </c>
      <c r="B573" s="33" t="s">
        <v>1063</v>
      </c>
      <c r="C573" s="34">
        <v>2005</v>
      </c>
      <c r="D573" s="33" t="s">
        <v>1062</v>
      </c>
      <c r="E573" s="34" t="s">
        <v>508</v>
      </c>
      <c r="F573" s="34" t="s">
        <v>482</v>
      </c>
      <c r="G573" s="34" t="s">
        <v>481</v>
      </c>
      <c r="H573" s="33" t="s">
        <v>1061</v>
      </c>
      <c r="I573" s="33" t="s">
        <v>1060</v>
      </c>
      <c r="J573" s="32" t="s">
        <v>479</v>
      </c>
    </row>
    <row r="574" spans="1:10" ht="15.75" customHeight="1" x14ac:dyDescent="0.3">
      <c r="A574" s="36" t="s">
        <v>1059</v>
      </c>
      <c r="B574" s="35" t="s">
        <v>1058</v>
      </c>
      <c r="C574" s="36">
        <v>2018</v>
      </c>
      <c r="D574" s="35" t="s">
        <v>1057</v>
      </c>
      <c r="E574" s="36" t="s">
        <v>508</v>
      </c>
      <c r="F574" s="36" t="s">
        <v>482</v>
      </c>
      <c r="G574" s="36" t="s">
        <v>481</v>
      </c>
      <c r="H574" s="35" t="s">
        <v>1056</v>
      </c>
      <c r="I574" s="35" t="s">
        <v>1055</v>
      </c>
      <c r="J574" s="32" t="s">
        <v>479</v>
      </c>
    </row>
    <row r="575" spans="1:10" ht="15.75" customHeight="1" x14ac:dyDescent="0.3">
      <c r="A575" s="34" t="s">
        <v>1054</v>
      </c>
      <c r="B575" s="33" t="s">
        <v>1053</v>
      </c>
      <c r="C575" s="34">
        <v>2009</v>
      </c>
      <c r="D575" s="33" t="s">
        <v>961</v>
      </c>
      <c r="E575" s="34" t="s">
        <v>483</v>
      </c>
      <c r="F575" s="34" t="s">
        <v>482</v>
      </c>
      <c r="G575" s="34" t="s">
        <v>481</v>
      </c>
      <c r="H575" s="33" t="s">
        <v>1052</v>
      </c>
      <c r="I575" s="33" t="s">
        <v>1051</v>
      </c>
      <c r="J575" s="32" t="s">
        <v>479</v>
      </c>
    </row>
    <row r="576" spans="1:10" ht="15.75" customHeight="1" x14ac:dyDescent="0.3">
      <c r="A576" s="36" t="s">
        <v>1050</v>
      </c>
      <c r="B576" s="35" t="s">
        <v>1049</v>
      </c>
      <c r="C576" s="36">
        <v>2025</v>
      </c>
      <c r="D576" s="35" t="s">
        <v>514</v>
      </c>
      <c r="E576" s="36" t="s">
        <v>483</v>
      </c>
      <c r="F576" s="36" t="s">
        <v>482</v>
      </c>
      <c r="G576" s="36" t="s">
        <v>481</v>
      </c>
      <c r="H576" s="35" t="s">
        <v>1048</v>
      </c>
      <c r="I576" s="35" t="s">
        <v>1047</v>
      </c>
      <c r="J576" s="32" t="s">
        <v>479</v>
      </c>
    </row>
    <row r="577" spans="1:10" ht="15.75" customHeight="1" x14ac:dyDescent="0.3">
      <c r="A577" s="34" t="s">
        <v>1046</v>
      </c>
      <c r="B577" s="33" t="s">
        <v>1045</v>
      </c>
      <c r="C577" s="34">
        <v>2014</v>
      </c>
      <c r="D577" s="33" t="s">
        <v>1044</v>
      </c>
      <c r="E577" s="34" t="s">
        <v>508</v>
      </c>
      <c r="F577" s="34" t="s">
        <v>482</v>
      </c>
      <c r="G577" s="34" t="s">
        <v>481</v>
      </c>
      <c r="H577" s="33" t="s">
        <v>1043</v>
      </c>
      <c r="I577" s="33" t="s">
        <v>1042</v>
      </c>
      <c r="J577" s="32" t="s">
        <v>479</v>
      </c>
    </row>
    <row r="578" spans="1:10" ht="15.75" customHeight="1" x14ac:dyDescent="0.3">
      <c r="A578" s="36" t="s">
        <v>1041</v>
      </c>
      <c r="B578" s="35" t="s">
        <v>1040</v>
      </c>
      <c r="C578" s="36">
        <v>2014</v>
      </c>
      <c r="D578" s="35" t="s">
        <v>503</v>
      </c>
      <c r="E578" s="36" t="s">
        <v>483</v>
      </c>
      <c r="F578" s="36" t="s">
        <v>482</v>
      </c>
      <c r="G578" s="36" t="s">
        <v>481</v>
      </c>
      <c r="H578" s="35" t="s">
        <v>1039</v>
      </c>
      <c r="I578" s="35" t="s">
        <v>1038</v>
      </c>
      <c r="J578" s="32" t="s">
        <v>479</v>
      </c>
    </row>
    <row r="579" spans="1:10" ht="15.75" customHeight="1" x14ac:dyDescent="0.3">
      <c r="A579" s="34" t="s">
        <v>1037</v>
      </c>
      <c r="B579" s="33" t="s">
        <v>1036</v>
      </c>
      <c r="C579" s="34">
        <v>2007</v>
      </c>
      <c r="D579" s="33" t="s">
        <v>1035</v>
      </c>
      <c r="E579" s="34" t="s">
        <v>508</v>
      </c>
      <c r="F579" s="34" t="s">
        <v>482</v>
      </c>
      <c r="G579" s="34" t="s">
        <v>481</v>
      </c>
      <c r="H579" s="33"/>
      <c r="I579" s="33" t="s">
        <v>1034</v>
      </c>
      <c r="J579" s="32" t="s">
        <v>479</v>
      </c>
    </row>
    <row r="580" spans="1:10" ht="15.75" customHeight="1" x14ac:dyDescent="0.3">
      <c r="A580" s="36" t="s">
        <v>1033</v>
      </c>
      <c r="B580" s="35" t="s">
        <v>1032</v>
      </c>
      <c r="C580" s="36">
        <v>2022</v>
      </c>
      <c r="D580" s="35" t="s">
        <v>548</v>
      </c>
      <c r="E580" s="36" t="s">
        <v>483</v>
      </c>
      <c r="F580" s="36" t="s">
        <v>482</v>
      </c>
      <c r="G580" s="36" t="s">
        <v>481</v>
      </c>
      <c r="H580" s="35" t="s">
        <v>1031</v>
      </c>
      <c r="I580" s="35" t="s">
        <v>1030</v>
      </c>
      <c r="J580" s="32" t="s">
        <v>479</v>
      </c>
    </row>
    <row r="581" spans="1:10" ht="15.75" customHeight="1" x14ac:dyDescent="0.3">
      <c r="A581" s="34" t="s">
        <v>1029</v>
      </c>
      <c r="B581" s="33" t="s">
        <v>1028</v>
      </c>
      <c r="C581" s="34">
        <v>2008</v>
      </c>
      <c r="D581" s="33" t="s">
        <v>1027</v>
      </c>
      <c r="E581" s="34" t="s">
        <v>508</v>
      </c>
      <c r="F581" s="34" t="s">
        <v>482</v>
      </c>
      <c r="G581" s="34" t="s">
        <v>481</v>
      </c>
      <c r="H581" s="33" t="s">
        <v>1026</v>
      </c>
      <c r="I581" s="33" t="s">
        <v>1025</v>
      </c>
      <c r="J581" s="32" t="s">
        <v>479</v>
      </c>
    </row>
    <row r="582" spans="1:10" ht="15.75" customHeight="1" x14ac:dyDescent="0.3">
      <c r="A582" s="36" t="s">
        <v>1024</v>
      </c>
      <c r="B582" s="35" t="s">
        <v>1023</v>
      </c>
      <c r="C582" s="36">
        <v>2023</v>
      </c>
      <c r="D582" s="35" t="s">
        <v>1022</v>
      </c>
      <c r="E582" s="36" t="s">
        <v>483</v>
      </c>
      <c r="F582" s="36" t="s">
        <v>482</v>
      </c>
      <c r="G582" s="36" t="s">
        <v>481</v>
      </c>
      <c r="H582" s="35" t="s">
        <v>1021</v>
      </c>
      <c r="I582" s="35" t="s">
        <v>1020</v>
      </c>
      <c r="J582" s="32" t="s">
        <v>479</v>
      </c>
    </row>
    <row r="583" spans="1:10" ht="15.75" customHeight="1" x14ac:dyDescent="0.3">
      <c r="A583" s="34" t="s">
        <v>1019</v>
      </c>
      <c r="B583" s="33" t="s">
        <v>1018</v>
      </c>
      <c r="C583" s="34">
        <v>2018</v>
      </c>
      <c r="D583" s="33" t="s">
        <v>1017</v>
      </c>
      <c r="E583" s="34" t="s">
        <v>508</v>
      </c>
      <c r="F583" s="34" t="s">
        <v>482</v>
      </c>
      <c r="G583" s="34" t="s">
        <v>481</v>
      </c>
      <c r="H583" s="33"/>
      <c r="I583" s="33" t="s">
        <v>1016</v>
      </c>
      <c r="J583" s="32" t="s">
        <v>479</v>
      </c>
    </row>
    <row r="584" spans="1:10" ht="15.75" customHeight="1" x14ac:dyDescent="0.3">
      <c r="A584" s="36" t="s">
        <v>1015</v>
      </c>
      <c r="B584" s="35" t="s">
        <v>1014</v>
      </c>
      <c r="C584" s="36">
        <v>2017</v>
      </c>
      <c r="D584" s="35" t="s">
        <v>1013</v>
      </c>
      <c r="E584" s="36" t="s">
        <v>508</v>
      </c>
      <c r="F584" s="36" t="s">
        <v>482</v>
      </c>
      <c r="G584" s="36" t="s">
        <v>481</v>
      </c>
      <c r="H584" s="35"/>
      <c r="I584" s="35" t="s">
        <v>1012</v>
      </c>
      <c r="J584" s="32" t="s">
        <v>479</v>
      </c>
    </row>
    <row r="585" spans="1:10" ht="15.75" customHeight="1" x14ac:dyDescent="0.3">
      <c r="A585" s="34" t="s">
        <v>1011</v>
      </c>
      <c r="B585" s="33" t="s">
        <v>1010</v>
      </c>
      <c r="C585" s="34">
        <v>2023</v>
      </c>
      <c r="D585" s="33" t="s">
        <v>1009</v>
      </c>
      <c r="E585" s="34" t="s">
        <v>483</v>
      </c>
      <c r="F585" s="34" t="s">
        <v>482</v>
      </c>
      <c r="G585" s="34" t="s">
        <v>481</v>
      </c>
      <c r="H585" s="33" t="s">
        <v>1008</v>
      </c>
      <c r="I585" s="33" t="s">
        <v>1007</v>
      </c>
      <c r="J585" s="32" t="s">
        <v>479</v>
      </c>
    </row>
    <row r="586" spans="1:10" ht="15.75" customHeight="1" x14ac:dyDescent="0.3">
      <c r="A586" s="36" t="s">
        <v>1006</v>
      </c>
      <c r="B586" s="35" t="s">
        <v>1005</v>
      </c>
      <c r="C586" s="36">
        <v>2018</v>
      </c>
      <c r="D586" s="35" t="s">
        <v>1004</v>
      </c>
      <c r="E586" s="36" t="s">
        <v>483</v>
      </c>
      <c r="F586" s="36" t="s">
        <v>482</v>
      </c>
      <c r="G586" s="36" t="s">
        <v>481</v>
      </c>
      <c r="H586" s="35" t="s">
        <v>1003</v>
      </c>
      <c r="I586" s="35" t="s">
        <v>1002</v>
      </c>
      <c r="J586" s="32" t="s">
        <v>479</v>
      </c>
    </row>
    <row r="587" spans="1:10" ht="15.75" customHeight="1" x14ac:dyDescent="0.3">
      <c r="A587" s="34" t="s">
        <v>1001</v>
      </c>
      <c r="B587" s="33" t="s">
        <v>1000</v>
      </c>
      <c r="C587" s="34">
        <v>2021</v>
      </c>
      <c r="D587" s="33" t="s">
        <v>783</v>
      </c>
      <c r="E587" s="34" t="s">
        <v>483</v>
      </c>
      <c r="F587" s="34" t="s">
        <v>482</v>
      </c>
      <c r="G587" s="34" t="s">
        <v>481</v>
      </c>
      <c r="H587" s="33" t="s">
        <v>999</v>
      </c>
      <c r="I587" s="33" t="s">
        <v>998</v>
      </c>
      <c r="J587" s="32" t="s">
        <v>479</v>
      </c>
    </row>
    <row r="588" spans="1:10" ht="15.75" customHeight="1" x14ac:dyDescent="0.3">
      <c r="A588" s="36" t="s">
        <v>997</v>
      </c>
      <c r="B588" s="35" t="s">
        <v>996</v>
      </c>
      <c r="C588" s="36">
        <v>2016</v>
      </c>
      <c r="D588" s="35" t="s">
        <v>995</v>
      </c>
      <c r="E588" s="36" t="s">
        <v>508</v>
      </c>
      <c r="F588" s="36" t="s">
        <v>482</v>
      </c>
      <c r="G588" s="36" t="s">
        <v>481</v>
      </c>
      <c r="H588" s="35"/>
      <c r="I588" s="35" t="s">
        <v>994</v>
      </c>
      <c r="J588" s="32" t="s">
        <v>479</v>
      </c>
    </row>
    <row r="589" spans="1:10" ht="15.75" customHeight="1" x14ac:dyDescent="0.3">
      <c r="A589" s="34" t="s">
        <v>993</v>
      </c>
      <c r="B589" s="33" t="s">
        <v>992</v>
      </c>
      <c r="C589" s="34">
        <v>2023</v>
      </c>
      <c r="D589" s="33" t="s">
        <v>866</v>
      </c>
      <c r="E589" s="34" t="s">
        <v>483</v>
      </c>
      <c r="F589" s="34" t="s">
        <v>482</v>
      </c>
      <c r="G589" s="34" t="s">
        <v>481</v>
      </c>
      <c r="H589" s="33" t="s">
        <v>991</v>
      </c>
      <c r="I589" s="33" t="s">
        <v>990</v>
      </c>
      <c r="J589" s="32" t="s">
        <v>479</v>
      </c>
    </row>
    <row r="590" spans="1:10" ht="15.75" customHeight="1" x14ac:dyDescent="0.3">
      <c r="A590" s="36" t="s">
        <v>989</v>
      </c>
      <c r="B590" s="35" t="s">
        <v>988</v>
      </c>
      <c r="C590" s="36">
        <v>2011</v>
      </c>
      <c r="D590" s="35" t="s">
        <v>605</v>
      </c>
      <c r="E590" s="36" t="s">
        <v>508</v>
      </c>
      <c r="F590" s="36" t="s">
        <v>482</v>
      </c>
      <c r="G590" s="36" t="s">
        <v>481</v>
      </c>
      <c r="H590" s="35"/>
      <c r="I590" s="35" t="s">
        <v>987</v>
      </c>
      <c r="J590" s="32" t="s">
        <v>479</v>
      </c>
    </row>
    <row r="591" spans="1:10" ht="15.75" customHeight="1" x14ac:dyDescent="0.3">
      <c r="A591" s="34" t="s">
        <v>986</v>
      </c>
      <c r="B591" s="33" t="s">
        <v>985</v>
      </c>
      <c r="C591" s="34">
        <v>2010</v>
      </c>
      <c r="D591" s="33" t="s">
        <v>493</v>
      </c>
      <c r="E591" s="34" t="s">
        <v>483</v>
      </c>
      <c r="F591" s="34" t="s">
        <v>482</v>
      </c>
      <c r="G591" s="34" t="s">
        <v>481</v>
      </c>
      <c r="H591" s="33" t="s">
        <v>984</v>
      </c>
      <c r="I591" s="33" t="s">
        <v>983</v>
      </c>
      <c r="J591" s="32" t="s">
        <v>479</v>
      </c>
    </row>
    <row r="592" spans="1:10" ht="15.75" customHeight="1" x14ac:dyDescent="0.3">
      <c r="A592" s="36" t="s">
        <v>982</v>
      </c>
      <c r="B592" s="35" t="s">
        <v>981</v>
      </c>
      <c r="C592" s="36">
        <v>2016</v>
      </c>
      <c r="D592" s="35" t="s">
        <v>980</v>
      </c>
      <c r="E592" s="36" t="s">
        <v>483</v>
      </c>
      <c r="F592" s="36" t="s">
        <v>482</v>
      </c>
      <c r="G592" s="36" t="s">
        <v>481</v>
      </c>
      <c r="H592" s="35" t="s">
        <v>979</v>
      </c>
      <c r="I592" s="35" t="s">
        <v>978</v>
      </c>
      <c r="J592" s="32" t="s">
        <v>479</v>
      </c>
    </row>
    <row r="593" spans="1:10" ht="15.75" customHeight="1" x14ac:dyDescent="0.3">
      <c r="A593" s="34" t="s">
        <v>977</v>
      </c>
      <c r="B593" s="33" t="s">
        <v>976</v>
      </c>
      <c r="C593" s="34">
        <v>2008</v>
      </c>
      <c r="D593" s="33" t="s">
        <v>975</v>
      </c>
      <c r="E593" s="34" t="s">
        <v>508</v>
      </c>
      <c r="F593" s="34" t="s">
        <v>482</v>
      </c>
      <c r="G593" s="34" t="s">
        <v>481</v>
      </c>
      <c r="H593" s="33" t="s">
        <v>974</v>
      </c>
      <c r="I593" s="33" t="s">
        <v>973</v>
      </c>
      <c r="J593" s="32" t="s">
        <v>479</v>
      </c>
    </row>
    <row r="594" spans="1:10" ht="15.75" customHeight="1" x14ac:dyDescent="0.3">
      <c r="A594" s="36" t="s">
        <v>972</v>
      </c>
      <c r="B594" s="35" t="s">
        <v>971</v>
      </c>
      <c r="C594" s="36">
        <v>2017</v>
      </c>
      <c r="D594" s="35" t="s">
        <v>970</v>
      </c>
      <c r="E594" s="36" t="s">
        <v>508</v>
      </c>
      <c r="F594" s="36" t="s">
        <v>482</v>
      </c>
      <c r="G594" s="36" t="s">
        <v>481</v>
      </c>
      <c r="H594" s="35"/>
      <c r="I594" s="35" t="s">
        <v>969</v>
      </c>
      <c r="J594" s="32" t="s">
        <v>479</v>
      </c>
    </row>
    <row r="595" spans="1:10" ht="15.75" customHeight="1" x14ac:dyDescent="0.3">
      <c r="A595" s="34" t="s">
        <v>968</v>
      </c>
      <c r="B595" s="33" t="s">
        <v>967</v>
      </c>
      <c r="C595" s="34">
        <v>2024</v>
      </c>
      <c r="D595" s="33" t="s">
        <v>966</v>
      </c>
      <c r="E595" s="34" t="s">
        <v>483</v>
      </c>
      <c r="F595" s="34" t="s">
        <v>482</v>
      </c>
      <c r="G595" s="34" t="s">
        <v>481</v>
      </c>
      <c r="H595" s="33" t="s">
        <v>965</v>
      </c>
      <c r="I595" s="33" t="s">
        <v>964</v>
      </c>
      <c r="J595" s="32" t="s">
        <v>479</v>
      </c>
    </row>
    <row r="596" spans="1:10" ht="15.75" customHeight="1" x14ac:dyDescent="0.3">
      <c r="A596" s="36" t="s">
        <v>963</v>
      </c>
      <c r="B596" s="35" t="s">
        <v>962</v>
      </c>
      <c r="C596" s="36">
        <v>2019</v>
      </c>
      <c r="D596" s="35" t="s">
        <v>961</v>
      </c>
      <c r="E596" s="36" t="s">
        <v>533</v>
      </c>
      <c r="F596" s="36" t="s">
        <v>482</v>
      </c>
      <c r="G596" s="36" t="s">
        <v>481</v>
      </c>
      <c r="H596" s="35" t="s">
        <v>960</v>
      </c>
      <c r="I596" s="35" t="s">
        <v>959</v>
      </c>
      <c r="J596" s="32" t="s">
        <v>479</v>
      </c>
    </row>
    <row r="597" spans="1:10" ht="15.75" customHeight="1" x14ac:dyDescent="0.3">
      <c r="A597" s="34" t="s">
        <v>958</v>
      </c>
      <c r="B597" s="33" t="s">
        <v>957</v>
      </c>
      <c r="C597" s="34">
        <v>2014</v>
      </c>
      <c r="D597" s="33" t="s">
        <v>956</v>
      </c>
      <c r="E597" s="34" t="s">
        <v>508</v>
      </c>
      <c r="F597" s="34" t="s">
        <v>482</v>
      </c>
      <c r="G597" s="34" t="s">
        <v>481</v>
      </c>
      <c r="H597" s="33"/>
      <c r="I597" s="33" t="s">
        <v>955</v>
      </c>
      <c r="J597" s="32" t="s">
        <v>479</v>
      </c>
    </row>
    <row r="598" spans="1:10" ht="15.75" customHeight="1" x14ac:dyDescent="0.3">
      <c r="A598" s="36" t="s">
        <v>954</v>
      </c>
      <c r="B598" s="35" t="s">
        <v>953</v>
      </c>
      <c r="C598" s="36">
        <v>2021</v>
      </c>
      <c r="D598" s="35" t="s">
        <v>952</v>
      </c>
      <c r="E598" s="36" t="s">
        <v>483</v>
      </c>
      <c r="F598" s="36" t="s">
        <v>482</v>
      </c>
      <c r="G598" s="36" t="s">
        <v>481</v>
      </c>
      <c r="H598" s="35" t="s">
        <v>951</v>
      </c>
      <c r="I598" s="35" t="s">
        <v>950</v>
      </c>
      <c r="J598" s="32" t="s">
        <v>479</v>
      </c>
    </row>
    <row r="599" spans="1:10" ht="15.75" customHeight="1" x14ac:dyDescent="0.3">
      <c r="A599" s="34" t="s">
        <v>949</v>
      </c>
      <c r="B599" s="33" t="s">
        <v>948</v>
      </c>
      <c r="C599" s="34">
        <v>2019</v>
      </c>
      <c r="D599" s="33" t="s">
        <v>837</v>
      </c>
      <c r="E599" s="34" t="s">
        <v>483</v>
      </c>
      <c r="F599" s="34" t="s">
        <v>482</v>
      </c>
      <c r="G599" s="34" t="s">
        <v>481</v>
      </c>
      <c r="H599" s="33" t="s">
        <v>947</v>
      </c>
      <c r="I599" s="33" t="s">
        <v>946</v>
      </c>
      <c r="J599" s="32" t="s">
        <v>479</v>
      </c>
    </row>
    <row r="600" spans="1:10" ht="15.75" customHeight="1" x14ac:dyDescent="0.3">
      <c r="A600" s="36" t="s">
        <v>945</v>
      </c>
      <c r="B600" s="35" t="s">
        <v>944</v>
      </c>
      <c r="C600" s="36">
        <v>2010</v>
      </c>
      <c r="D600" s="35" t="s">
        <v>686</v>
      </c>
      <c r="E600" s="36" t="s">
        <v>483</v>
      </c>
      <c r="F600" s="36" t="s">
        <v>482</v>
      </c>
      <c r="G600" s="36" t="s">
        <v>481</v>
      </c>
      <c r="H600" s="35" t="s">
        <v>943</v>
      </c>
      <c r="I600" s="35" t="s">
        <v>942</v>
      </c>
      <c r="J600" s="32" t="s">
        <v>479</v>
      </c>
    </row>
    <row r="601" spans="1:10" ht="15.75" customHeight="1" x14ac:dyDescent="0.3">
      <c r="A601" s="34" t="s">
        <v>941</v>
      </c>
      <c r="B601" s="33" t="s">
        <v>940</v>
      </c>
      <c r="C601" s="34">
        <v>2014</v>
      </c>
      <c r="D601" s="33" t="s">
        <v>939</v>
      </c>
      <c r="E601" s="34" t="s">
        <v>508</v>
      </c>
      <c r="F601" s="34" t="s">
        <v>482</v>
      </c>
      <c r="G601" s="34" t="s">
        <v>481</v>
      </c>
      <c r="H601" s="33"/>
      <c r="I601" s="33" t="s">
        <v>938</v>
      </c>
      <c r="J601" s="32" t="s">
        <v>479</v>
      </c>
    </row>
    <row r="602" spans="1:10" ht="15.75" customHeight="1" x14ac:dyDescent="0.3">
      <c r="A602" s="36" t="s">
        <v>937</v>
      </c>
      <c r="B602" s="35" t="s">
        <v>936</v>
      </c>
      <c r="C602" s="36">
        <v>2008</v>
      </c>
      <c r="D602" s="35" t="s">
        <v>935</v>
      </c>
      <c r="E602" s="36" t="s">
        <v>508</v>
      </c>
      <c r="F602" s="36" t="s">
        <v>482</v>
      </c>
      <c r="G602" s="36" t="s">
        <v>481</v>
      </c>
      <c r="H602" s="35"/>
      <c r="I602" s="35" t="s">
        <v>934</v>
      </c>
      <c r="J602" s="32" t="s">
        <v>479</v>
      </c>
    </row>
    <row r="603" spans="1:10" ht="15.75" customHeight="1" x14ac:dyDescent="0.3">
      <c r="A603" s="34" t="s">
        <v>277</v>
      </c>
      <c r="B603" s="33" t="s">
        <v>933</v>
      </c>
      <c r="C603" s="34">
        <v>2016</v>
      </c>
      <c r="D603" s="33" t="s">
        <v>932</v>
      </c>
      <c r="E603" s="34" t="s">
        <v>483</v>
      </c>
      <c r="F603" s="34" t="s">
        <v>482</v>
      </c>
      <c r="G603" s="34" t="s">
        <v>481</v>
      </c>
      <c r="H603" s="33"/>
      <c r="I603" s="33" t="s">
        <v>931</v>
      </c>
      <c r="J603" s="32" t="s">
        <v>479</v>
      </c>
    </row>
    <row r="604" spans="1:10" ht="15.75" customHeight="1" x14ac:dyDescent="0.3">
      <c r="A604" s="36" t="s">
        <v>930</v>
      </c>
      <c r="B604" s="35" t="s">
        <v>929</v>
      </c>
      <c r="C604" s="36">
        <v>2015</v>
      </c>
      <c r="D604" s="35" t="s">
        <v>928</v>
      </c>
      <c r="E604" s="36" t="s">
        <v>483</v>
      </c>
      <c r="F604" s="36" t="s">
        <v>482</v>
      </c>
      <c r="G604" s="36" t="s">
        <v>481</v>
      </c>
      <c r="H604" s="35" t="s">
        <v>927</v>
      </c>
      <c r="I604" s="35" t="s">
        <v>926</v>
      </c>
      <c r="J604" s="32" t="s">
        <v>479</v>
      </c>
    </row>
    <row r="605" spans="1:10" ht="15.75" customHeight="1" x14ac:dyDescent="0.3">
      <c r="A605" s="34" t="s">
        <v>925</v>
      </c>
      <c r="B605" s="33" t="s">
        <v>924</v>
      </c>
      <c r="C605" s="34">
        <v>2012</v>
      </c>
      <c r="D605" s="33" t="s">
        <v>923</v>
      </c>
      <c r="E605" s="34" t="s">
        <v>508</v>
      </c>
      <c r="F605" s="34" t="s">
        <v>482</v>
      </c>
      <c r="G605" s="34" t="s">
        <v>481</v>
      </c>
      <c r="H605" s="33" t="s">
        <v>922</v>
      </c>
      <c r="I605" s="33" t="s">
        <v>921</v>
      </c>
      <c r="J605" s="32" t="s">
        <v>479</v>
      </c>
    </row>
    <row r="606" spans="1:10" ht="15.75" customHeight="1" x14ac:dyDescent="0.3">
      <c r="A606" s="36" t="s">
        <v>920</v>
      </c>
      <c r="B606" s="35" t="s">
        <v>919</v>
      </c>
      <c r="C606" s="36">
        <v>2024</v>
      </c>
      <c r="D606" s="35" t="s">
        <v>918</v>
      </c>
      <c r="E606" s="36" t="s">
        <v>483</v>
      </c>
      <c r="F606" s="36" t="s">
        <v>482</v>
      </c>
      <c r="G606" s="36" t="s">
        <v>481</v>
      </c>
      <c r="H606" s="35" t="s">
        <v>917</v>
      </c>
      <c r="I606" s="35" t="s">
        <v>916</v>
      </c>
      <c r="J606" s="32" t="s">
        <v>479</v>
      </c>
    </row>
    <row r="607" spans="1:10" ht="15.75" customHeight="1" x14ac:dyDescent="0.3">
      <c r="A607" s="34" t="s">
        <v>915</v>
      </c>
      <c r="B607" s="33" t="s">
        <v>914</v>
      </c>
      <c r="C607" s="34">
        <v>2025</v>
      </c>
      <c r="D607" s="33" t="s">
        <v>514</v>
      </c>
      <c r="E607" s="34" t="s">
        <v>483</v>
      </c>
      <c r="F607" s="34" t="s">
        <v>482</v>
      </c>
      <c r="G607" s="34" t="s">
        <v>481</v>
      </c>
      <c r="H607" s="33" t="s">
        <v>913</v>
      </c>
      <c r="I607" s="33" t="s">
        <v>912</v>
      </c>
      <c r="J607" s="32" t="s">
        <v>479</v>
      </c>
    </row>
    <row r="608" spans="1:10" ht="15.75" customHeight="1" x14ac:dyDescent="0.3">
      <c r="A608" s="36" t="s">
        <v>911</v>
      </c>
      <c r="B608" s="35" t="s">
        <v>910</v>
      </c>
      <c r="C608" s="36">
        <v>2024</v>
      </c>
      <c r="D608" s="35" t="s">
        <v>909</v>
      </c>
      <c r="E608" s="36" t="s">
        <v>483</v>
      </c>
      <c r="F608" s="36" t="s">
        <v>482</v>
      </c>
      <c r="G608" s="36" t="s">
        <v>481</v>
      </c>
      <c r="H608" s="35" t="s">
        <v>908</v>
      </c>
      <c r="I608" s="35" t="s">
        <v>907</v>
      </c>
      <c r="J608" s="32" t="s">
        <v>479</v>
      </c>
    </row>
    <row r="609" spans="1:10" ht="15.75" customHeight="1" x14ac:dyDescent="0.3">
      <c r="A609" s="34" t="s">
        <v>906</v>
      </c>
      <c r="B609" s="33" t="s">
        <v>905</v>
      </c>
      <c r="C609" s="34">
        <v>2014</v>
      </c>
      <c r="D609" s="33" t="s">
        <v>904</v>
      </c>
      <c r="E609" s="34" t="s">
        <v>483</v>
      </c>
      <c r="F609" s="34" t="s">
        <v>482</v>
      </c>
      <c r="G609" s="34" t="s">
        <v>481</v>
      </c>
      <c r="H609" s="33" t="s">
        <v>903</v>
      </c>
      <c r="I609" s="33" t="s">
        <v>902</v>
      </c>
      <c r="J609" s="32" t="s">
        <v>479</v>
      </c>
    </row>
    <row r="610" spans="1:10" ht="15.75" customHeight="1" x14ac:dyDescent="0.3">
      <c r="A610" s="36" t="s">
        <v>901</v>
      </c>
      <c r="B610" s="35" t="s">
        <v>900</v>
      </c>
      <c r="C610" s="36">
        <v>2024</v>
      </c>
      <c r="D610" s="35" t="s">
        <v>899</v>
      </c>
      <c r="E610" s="36" t="s">
        <v>483</v>
      </c>
      <c r="F610" s="36" t="s">
        <v>482</v>
      </c>
      <c r="G610" s="36" t="s">
        <v>481</v>
      </c>
      <c r="H610" s="35" t="s">
        <v>898</v>
      </c>
      <c r="I610" s="35" t="s">
        <v>897</v>
      </c>
      <c r="J610" s="32" t="s">
        <v>479</v>
      </c>
    </row>
    <row r="611" spans="1:10" ht="15.75" customHeight="1" x14ac:dyDescent="0.3">
      <c r="A611" s="34" t="s">
        <v>278</v>
      </c>
      <c r="B611" s="33" t="s">
        <v>896</v>
      </c>
      <c r="C611" s="34">
        <v>2025</v>
      </c>
      <c r="D611" s="33" t="s">
        <v>895</v>
      </c>
      <c r="E611" s="34" t="s">
        <v>483</v>
      </c>
      <c r="F611" s="34" t="s">
        <v>482</v>
      </c>
      <c r="G611" s="34" t="s">
        <v>481</v>
      </c>
      <c r="H611" s="33" t="s">
        <v>894</v>
      </c>
      <c r="I611" s="33" t="s">
        <v>893</v>
      </c>
      <c r="J611" s="32" t="s">
        <v>479</v>
      </c>
    </row>
    <row r="612" spans="1:10" ht="15.75" customHeight="1" x14ac:dyDescent="0.3">
      <c r="A612" s="36" t="s">
        <v>892</v>
      </c>
      <c r="B612" s="35" t="s">
        <v>891</v>
      </c>
      <c r="C612" s="36">
        <v>1983</v>
      </c>
      <c r="D612" s="35" t="s">
        <v>890</v>
      </c>
      <c r="E612" s="36" t="s">
        <v>483</v>
      </c>
      <c r="F612" s="36" t="s">
        <v>482</v>
      </c>
      <c r="G612" s="36" t="s">
        <v>481</v>
      </c>
      <c r="H612" s="35"/>
      <c r="I612" s="35"/>
      <c r="J612" s="32" t="s">
        <v>479</v>
      </c>
    </row>
    <row r="613" spans="1:10" ht="15.75" customHeight="1" x14ac:dyDescent="0.3">
      <c r="A613" s="34" t="s">
        <v>283</v>
      </c>
      <c r="B613" s="33" t="s">
        <v>889</v>
      </c>
      <c r="C613" s="34">
        <v>2019</v>
      </c>
      <c r="D613" s="33" t="s">
        <v>888</v>
      </c>
      <c r="E613" s="34" t="s">
        <v>483</v>
      </c>
      <c r="F613" s="34" t="s">
        <v>482</v>
      </c>
      <c r="G613" s="34" t="s">
        <v>481</v>
      </c>
      <c r="H613" s="33" t="s">
        <v>887</v>
      </c>
      <c r="I613" s="33" t="s">
        <v>886</v>
      </c>
      <c r="J613" s="32" t="s">
        <v>479</v>
      </c>
    </row>
    <row r="614" spans="1:10" ht="15.75" customHeight="1" x14ac:dyDescent="0.3">
      <c r="A614" s="36" t="s">
        <v>885</v>
      </c>
      <c r="B614" s="35" t="s">
        <v>884</v>
      </c>
      <c r="C614" s="36">
        <v>2001</v>
      </c>
      <c r="D614" s="35" t="s">
        <v>883</v>
      </c>
      <c r="E614" s="36" t="s">
        <v>483</v>
      </c>
      <c r="F614" s="36" t="s">
        <v>482</v>
      </c>
      <c r="G614" s="36" t="s">
        <v>481</v>
      </c>
      <c r="H614" s="35" t="s">
        <v>882</v>
      </c>
      <c r="I614" s="35" t="s">
        <v>881</v>
      </c>
      <c r="J614" s="32" t="s">
        <v>479</v>
      </c>
    </row>
    <row r="615" spans="1:10" ht="15.75" customHeight="1" x14ac:dyDescent="0.3">
      <c r="A615" s="34" t="s">
        <v>880</v>
      </c>
      <c r="B615" s="33" t="s">
        <v>879</v>
      </c>
      <c r="C615" s="34">
        <v>2003</v>
      </c>
      <c r="D615" s="33" t="s">
        <v>878</v>
      </c>
      <c r="E615" s="34" t="s">
        <v>508</v>
      </c>
      <c r="F615" s="34" t="s">
        <v>482</v>
      </c>
      <c r="G615" s="34" t="s">
        <v>481</v>
      </c>
      <c r="H615" s="33"/>
      <c r="I615" s="33" t="s">
        <v>877</v>
      </c>
      <c r="J615" s="32" t="s">
        <v>479</v>
      </c>
    </row>
    <row r="616" spans="1:10" ht="15.75" customHeight="1" x14ac:dyDescent="0.3">
      <c r="A616" s="36" t="s">
        <v>876</v>
      </c>
      <c r="B616" s="35" t="s">
        <v>875</v>
      </c>
      <c r="C616" s="36">
        <v>2023</v>
      </c>
      <c r="D616" s="35" t="s">
        <v>627</v>
      </c>
      <c r="E616" s="36" t="s">
        <v>483</v>
      </c>
      <c r="F616" s="36" t="s">
        <v>482</v>
      </c>
      <c r="G616" s="36" t="s">
        <v>481</v>
      </c>
      <c r="H616" s="35" t="s">
        <v>874</v>
      </c>
      <c r="I616" s="35" t="s">
        <v>873</v>
      </c>
      <c r="J616" s="32" t="s">
        <v>479</v>
      </c>
    </row>
    <row r="617" spans="1:10" ht="15.75" customHeight="1" x14ac:dyDescent="0.3">
      <c r="A617" s="34" t="s">
        <v>872</v>
      </c>
      <c r="B617" s="33" t="s">
        <v>871</v>
      </c>
      <c r="C617" s="34">
        <v>2012</v>
      </c>
      <c r="D617" s="33" t="s">
        <v>870</v>
      </c>
      <c r="E617" s="34" t="s">
        <v>508</v>
      </c>
      <c r="F617" s="34" t="s">
        <v>482</v>
      </c>
      <c r="G617" s="34" t="s">
        <v>481</v>
      </c>
      <c r="H617" s="33"/>
      <c r="I617" s="33" t="s">
        <v>869</v>
      </c>
      <c r="J617" s="32" t="s">
        <v>479</v>
      </c>
    </row>
    <row r="618" spans="1:10" ht="15.75" customHeight="1" x14ac:dyDescent="0.3">
      <c r="A618" s="36" t="s">
        <v>868</v>
      </c>
      <c r="B618" s="35" t="s">
        <v>867</v>
      </c>
      <c r="C618" s="36">
        <v>2015</v>
      </c>
      <c r="D618" s="35" t="s">
        <v>866</v>
      </c>
      <c r="E618" s="36" t="s">
        <v>483</v>
      </c>
      <c r="F618" s="36" t="s">
        <v>482</v>
      </c>
      <c r="G618" s="36" t="s">
        <v>481</v>
      </c>
      <c r="H618" s="35" t="s">
        <v>865</v>
      </c>
      <c r="I618" s="35" t="s">
        <v>864</v>
      </c>
      <c r="J618" s="32" t="s">
        <v>479</v>
      </c>
    </row>
    <row r="619" spans="1:10" ht="15.75" customHeight="1" x14ac:dyDescent="0.3">
      <c r="A619" s="34" t="s">
        <v>863</v>
      </c>
      <c r="B619" s="33" t="s">
        <v>862</v>
      </c>
      <c r="C619" s="34">
        <v>2024</v>
      </c>
      <c r="D619" s="33" t="s">
        <v>861</v>
      </c>
      <c r="E619" s="34" t="s">
        <v>483</v>
      </c>
      <c r="F619" s="34" t="s">
        <v>482</v>
      </c>
      <c r="G619" s="34" t="s">
        <v>481</v>
      </c>
      <c r="H619" s="33" t="s">
        <v>860</v>
      </c>
      <c r="I619" s="33" t="s">
        <v>859</v>
      </c>
      <c r="J619" s="32" t="s">
        <v>479</v>
      </c>
    </row>
    <row r="620" spans="1:10" ht="15.75" customHeight="1" x14ac:dyDescent="0.3">
      <c r="A620" s="36" t="s">
        <v>858</v>
      </c>
      <c r="B620" s="35" t="s">
        <v>857</v>
      </c>
      <c r="C620" s="36">
        <v>2025</v>
      </c>
      <c r="D620" s="35" t="s">
        <v>691</v>
      </c>
      <c r="E620" s="36" t="s">
        <v>483</v>
      </c>
      <c r="F620" s="36" t="s">
        <v>482</v>
      </c>
      <c r="G620" s="36" t="s">
        <v>481</v>
      </c>
      <c r="H620" s="35" t="s">
        <v>856</v>
      </c>
      <c r="I620" s="35" t="s">
        <v>855</v>
      </c>
      <c r="J620" s="32" t="s">
        <v>479</v>
      </c>
    </row>
    <row r="621" spans="1:10" ht="15.75" customHeight="1" x14ac:dyDescent="0.3">
      <c r="A621" s="34" t="s">
        <v>854</v>
      </c>
      <c r="B621" s="33" t="s">
        <v>853</v>
      </c>
      <c r="C621" s="34">
        <v>1999</v>
      </c>
      <c r="D621" s="33" t="s">
        <v>493</v>
      </c>
      <c r="E621" s="34" t="s">
        <v>483</v>
      </c>
      <c r="F621" s="34" t="s">
        <v>482</v>
      </c>
      <c r="G621" s="34" t="s">
        <v>481</v>
      </c>
      <c r="H621" s="33" t="s">
        <v>852</v>
      </c>
      <c r="I621" s="33" t="s">
        <v>851</v>
      </c>
      <c r="J621" s="32" t="s">
        <v>479</v>
      </c>
    </row>
    <row r="622" spans="1:10" ht="15.75" customHeight="1" x14ac:dyDescent="0.3">
      <c r="A622" s="36" t="s">
        <v>850</v>
      </c>
      <c r="B622" s="35" t="s">
        <v>849</v>
      </c>
      <c r="C622" s="36">
        <v>2018</v>
      </c>
      <c r="D622" s="35" t="s">
        <v>528</v>
      </c>
      <c r="E622" s="36" t="s">
        <v>483</v>
      </c>
      <c r="F622" s="36" t="s">
        <v>482</v>
      </c>
      <c r="G622" s="36" t="s">
        <v>481</v>
      </c>
      <c r="H622" s="35" t="s">
        <v>848</v>
      </c>
      <c r="I622" s="35" t="s">
        <v>847</v>
      </c>
      <c r="J622" s="32" t="s">
        <v>479</v>
      </c>
    </row>
    <row r="623" spans="1:10" ht="15.75" customHeight="1" x14ac:dyDescent="0.3">
      <c r="A623" s="34" t="s">
        <v>846</v>
      </c>
      <c r="B623" s="33" t="s">
        <v>845</v>
      </c>
      <c r="C623" s="34">
        <v>1996</v>
      </c>
      <c r="D623" s="33" t="s">
        <v>539</v>
      </c>
      <c r="E623" s="34" t="s">
        <v>483</v>
      </c>
      <c r="F623" s="34" t="s">
        <v>482</v>
      </c>
      <c r="G623" s="34" t="s">
        <v>481</v>
      </c>
      <c r="H623" s="33" t="s">
        <v>844</v>
      </c>
      <c r="I623" s="33" t="s">
        <v>843</v>
      </c>
      <c r="J623" s="32" t="s">
        <v>479</v>
      </c>
    </row>
    <row r="624" spans="1:10" ht="15.75" customHeight="1" x14ac:dyDescent="0.3">
      <c r="A624" s="36" t="s">
        <v>842</v>
      </c>
      <c r="B624" s="35" t="s">
        <v>841</v>
      </c>
      <c r="C624" s="36">
        <v>2015</v>
      </c>
      <c r="D624" s="35" t="s">
        <v>840</v>
      </c>
      <c r="E624" s="36" t="s">
        <v>508</v>
      </c>
      <c r="F624" s="36" t="s">
        <v>482</v>
      </c>
      <c r="G624" s="36" t="s">
        <v>481</v>
      </c>
      <c r="H624" s="35"/>
      <c r="I624" s="35" t="s">
        <v>839</v>
      </c>
      <c r="J624" s="32" t="s">
        <v>479</v>
      </c>
    </row>
    <row r="625" spans="1:10" ht="15.75" customHeight="1" x14ac:dyDescent="0.3">
      <c r="A625" s="34" t="s">
        <v>286</v>
      </c>
      <c r="B625" s="33" t="s">
        <v>838</v>
      </c>
      <c r="C625" s="34">
        <v>2018</v>
      </c>
      <c r="D625" s="33" t="s">
        <v>837</v>
      </c>
      <c r="E625" s="34" t="s">
        <v>483</v>
      </c>
      <c r="F625" s="34" t="s">
        <v>482</v>
      </c>
      <c r="G625" s="34" t="s">
        <v>481</v>
      </c>
      <c r="H625" s="33" t="s">
        <v>836</v>
      </c>
      <c r="I625" s="33" t="s">
        <v>835</v>
      </c>
      <c r="J625" s="32" t="s">
        <v>479</v>
      </c>
    </row>
    <row r="626" spans="1:10" ht="15.75" customHeight="1" x14ac:dyDescent="0.3">
      <c r="A626" s="36" t="s">
        <v>834</v>
      </c>
      <c r="B626" s="35" t="s">
        <v>833</v>
      </c>
      <c r="C626" s="36">
        <v>2018</v>
      </c>
      <c r="D626" s="35" t="s">
        <v>832</v>
      </c>
      <c r="E626" s="36" t="s">
        <v>508</v>
      </c>
      <c r="F626" s="36" t="s">
        <v>482</v>
      </c>
      <c r="G626" s="36" t="s">
        <v>481</v>
      </c>
      <c r="H626" s="35"/>
      <c r="I626" s="35" t="s">
        <v>831</v>
      </c>
      <c r="J626" s="32" t="s">
        <v>479</v>
      </c>
    </row>
    <row r="627" spans="1:10" ht="15.75" customHeight="1" x14ac:dyDescent="0.3">
      <c r="A627" s="34" t="s">
        <v>830</v>
      </c>
      <c r="B627" s="33" t="s">
        <v>829</v>
      </c>
      <c r="C627" s="34">
        <v>2011</v>
      </c>
      <c r="D627" s="33" t="s">
        <v>828</v>
      </c>
      <c r="E627" s="34" t="s">
        <v>508</v>
      </c>
      <c r="F627" s="34" t="s">
        <v>482</v>
      </c>
      <c r="G627" s="34" t="s">
        <v>481</v>
      </c>
      <c r="H627" s="33"/>
      <c r="I627" s="33" t="s">
        <v>827</v>
      </c>
      <c r="J627" s="32" t="s">
        <v>479</v>
      </c>
    </row>
    <row r="628" spans="1:10" ht="15.75" customHeight="1" x14ac:dyDescent="0.3">
      <c r="A628" s="36" t="s">
        <v>826</v>
      </c>
      <c r="B628" s="35" t="s">
        <v>825</v>
      </c>
      <c r="C628" s="36">
        <v>2023</v>
      </c>
      <c r="D628" s="35" t="s">
        <v>824</v>
      </c>
      <c r="E628" s="36" t="s">
        <v>483</v>
      </c>
      <c r="F628" s="36" t="s">
        <v>482</v>
      </c>
      <c r="G628" s="36" t="s">
        <v>481</v>
      </c>
      <c r="H628" s="35" t="s">
        <v>823</v>
      </c>
      <c r="I628" s="35" t="s">
        <v>822</v>
      </c>
      <c r="J628" s="32" t="s">
        <v>479</v>
      </c>
    </row>
    <row r="629" spans="1:10" ht="15.75" customHeight="1" x14ac:dyDescent="0.3">
      <c r="A629" s="34" t="s">
        <v>821</v>
      </c>
      <c r="B629" s="33" t="s">
        <v>820</v>
      </c>
      <c r="C629" s="34">
        <v>2023</v>
      </c>
      <c r="D629" s="33" t="s">
        <v>783</v>
      </c>
      <c r="E629" s="34" t="s">
        <v>483</v>
      </c>
      <c r="F629" s="34" t="s">
        <v>482</v>
      </c>
      <c r="G629" s="34" t="s">
        <v>481</v>
      </c>
      <c r="H629" s="33" t="s">
        <v>819</v>
      </c>
      <c r="I629" s="33" t="s">
        <v>818</v>
      </c>
      <c r="J629" s="32" t="s">
        <v>479</v>
      </c>
    </row>
    <row r="630" spans="1:10" ht="15.75" customHeight="1" x14ac:dyDescent="0.3">
      <c r="A630" s="36" t="s">
        <v>817</v>
      </c>
      <c r="B630" s="35" t="s">
        <v>816</v>
      </c>
      <c r="C630" s="36">
        <v>2011</v>
      </c>
      <c r="D630" s="35" t="s">
        <v>605</v>
      </c>
      <c r="E630" s="36" t="s">
        <v>508</v>
      </c>
      <c r="F630" s="36" t="s">
        <v>482</v>
      </c>
      <c r="G630" s="36" t="s">
        <v>481</v>
      </c>
      <c r="H630" s="35"/>
      <c r="I630" s="35" t="s">
        <v>815</v>
      </c>
      <c r="J630" s="32" t="s">
        <v>479</v>
      </c>
    </row>
    <row r="631" spans="1:10" ht="15.75" customHeight="1" x14ac:dyDescent="0.3">
      <c r="A631" s="34" t="s">
        <v>814</v>
      </c>
      <c r="B631" s="33" t="s">
        <v>813</v>
      </c>
      <c r="C631" s="34">
        <v>2015</v>
      </c>
      <c r="D631" s="33" t="s">
        <v>812</v>
      </c>
      <c r="E631" s="34" t="s">
        <v>508</v>
      </c>
      <c r="F631" s="34" t="s">
        <v>482</v>
      </c>
      <c r="G631" s="34" t="s">
        <v>481</v>
      </c>
      <c r="H631" s="33"/>
      <c r="I631" s="33" t="s">
        <v>811</v>
      </c>
      <c r="J631" s="32" t="s">
        <v>479</v>
      </c>
    </row>
    <row r="632" spans="1:10" ht="15.75" customHeight="1" x14ac:dyDescent="0.3">
      <c r="A632" s="36" t="s">
        <v>810</v>
      </c>
      <c r="B632" s="35" t="s">
        <v>809</v>
      </c>
      <c r="C632" s="36">
        <v>2010</v>
      </c>
      <c r="D632" s="35" t="s">
        <v>808</v>
      </c>
      <c r="E632" s="36" t="s">
        <v>483</v>
      </c>
      <c r="F632" s="36" t="s">
        <v>482</v>
      </c>
      <c r="G632" s="36" t="s">
        <v>481</v>
      </c>
      <c r="H632" s="35" t="s">
        <v>807</v>
      </c>
      <c r="I632" s="35" t="s">
        <v>806</v>
      </c>
      <c r="J632" s="32" t="s">
        <v>479</v>
      </c>
    </row>
    <row r="633" spans="1:10" ht="15.75" customHeight="1" x14ac:dyDescent="0.3">
      <c r="A633" s="34" t="s">
        <v>805</v>
      </c>
      <c r="B633" s="33" t="s">
        <v>804</v>
      </c>
      <c r="C633" s="34">
        <v>2010</v>
      </c>
      <c r="D633" s="33" t="s">
        <v>766</v>
      </c>
      <c r="E633" s="34" t="s">
        <v>508</v>
      </c>
      <c r="F633" s="34" t="s">
        <v>482</v>
      </c>
      <c r="G633" s="34" t="s">
        <v>481</v>
      </c>
      <c r="H633" s="33"/>
      <c r="I633" s="33" t="s">
        <v>803</v>
      </c>
      <c r="J633" s="32" t="s">
        <v>479</v>
      </c>
    </row>
    <row r="634" spans="1:10" ht="15.75" customHeight="1" x14ac:dyDescent="0.3">
      <c r="A634" s="36" t="s">
        <v>802</v>
      </c>
      <c r="B634" s="35" t="s">
        <v>801</v>
      </c>
      <c r="C634" s="36">
        <v>2008</v>
      </c>
      <c r="D634" s="35" t="s">
        <v>800</v>
      </c>
      <c r="E634" s="36" t="s">
        <v>508</v>
      </c>
      <c r="F634" s="36" t="s">
        <v>482</v>
      </c>
      <c r="G634" s="36" t="s">
        <v>481</v>
      </c>
      <c r="H634" s="35"/>
      <c r="I634" s="35" t="s">
        <v>799</v>
      </c>
      <c r="J634" s="32" t="s">
        <v>479</v>
      </c>
    </row>
    <row r="635" spans="1:10" ht="15.75" customHeight="1" x14ac:dyDescent="0.3">
      <c r="A635" s="34" t="s">
        <v>798</v>
      </c>
      <c r="B635" s="33" t="s">
        <v>797</v>
      </c>
      <c r="C635" s="34">
        <v>2006</v>
      </c>
      <c r="D635" s="33" t="s">
        <v>796</v>
      </c>
      <c r="E635" s="34" t="s">
        <v>508</v>
      </c>
      <c r="F635" s="34" t="s">
        <v>482</v>
      </c>
      <c r="G635" s="34" t="s">
        <v>481</v>
      </c>
      <c r="H635" s="33"/>
      <c r="I635" s="33" t="s">
        <v>795</v>
      </c>
      <c r="J635" s="32" t="s">
        <v>479</v>
      </c>
    </row>
    <row r="636" spans="1:10" ht="15.75" customHeight="1" x14ac:dyDescent="0.3">
      <c r="A636" s="36" t="s">
        <v>794</v>
      </c>
      <c r="B636" s="35" t="s">
        <v>793</v>
      </c>
      <c r="C636" s="36">
        <v>2018</v>
      </c>
      <c r="D636" s="35" t="s">
        <v>792</v>
      </c>
      <c r="E636" s="36" t="s">
        <v>508</v>
      </c>
      <c r="F636" s="36" t="s">
        <v>482</v>
      </c>
      <c r="G636" s="36" t="s">
        <v>481</v>
      </c>
      <c r="H636" s="35"/>
      <c r="I636" s="35" t="s">
        <v>791</v>
      </c>
      <c r="J636" s="32" t="s">
        <v>479</v>
      </c>
    </row>
    <row r="637" spans="1:10" ht="15.75" customHeight="1" x14ac:dyDescent="0.3">
      <c r="A637" s="34" t="s">
        <v>790</v>
      </c>
      <c r="B637" s="33" t="s">
        <v>789</v>
      </c>
      <c r="C637" s="34">
        <v>2015</v>
      </c>
      <c r="D637" s="33" t="s">
        <v>788</v>
      </c>
      <c r="E637" s="34" t="s">
        <v>508</v>
      </c>
      <c r="F637" s="34" t="s">
        <v>482</v>
      </c>
      <c r="G637" s="34" t="s">
        <v>481</v>
      </c>
      <c r="H637" s="33" t="s">
        <v>787</v>
      </c>
      <c r="I637" s="33" t="s">
        <v>786</v>
      </c>
      <c r="J637" s="32" t="s">
        <v>479</v>
      </c>
    </row>
    <row r="638" spans="1:10" ht="15.75" customHeight="1" x14ac:dyDescent="0.3">
      <c r="A638" s="36" t="s">
        <v>785</v>
      </c>
      <c r="B638" s="35" t="s">
        <v>784</v>
      </c>
      <c r="C638" s="36">
        <v>2022</v>
      </c>
      <c r="D638" s="35" t="s">
        <v>783</v>
      </c>
      <c r="E638" s="36" t="s">
        <v>483</v>
      </c>
      <c r="F638" s="36" t="s">
        <v>482</v>
      </c>
      <c r="G638" s="36" t="s">
        <v>481</v>
      </c>
      <c r="H638" s="35" t="s">
        <v>782</v>
      </c>
      <c r="I638" s="35" t="s">
        <v>781</v>
      </c>
      <c r="J638" s="32" t="s">
        <v>479</v>
      </c>
    </row>
    <row r="639" spans="1:10" ht="15.75" customHeight="1" x14ac:dyDescent="0.3">
      <c r="A639" s="34" t="s">
        <v>780</v>
      </c>
      <c r="B639" s="33" t="s">
        <v>779</v>
      </c>
      <c r="C639" s="34">
        <v>1994</v>
      </c>
      <c r="D639" s="33" t="s">
        <v>778</v>
      </c>
      <c r="E639" s="34" t="s">
        <v>508</v>
      </c>
      <c r="F639" s="34" t="s">
        <v>482</v>
      </c>
      <c r="G639" s="34" t="s">
        <v>481</v>
      </c>
      <c r="H639" s="33"/>
      <c r="I639" s="33"/>
      <c r="J639" s="32" t="s">
        <v>479</v>
      </c>
    </row>
    <row r="640" spans="1:10" ht="15.75" customHeight="1" x14ac:dyDescent="0.3">
      <c r="A640" s="36" t="s">
        <v>777</v>
      </c>
      <c r="B640" s="35" t="s">
        <v>776</v>
      </c>
      <c r="C640" s="36">
        <v>1996</v>
      </c>
      <c r="D640" s="35" t="s">
        <v>775</v>
      </c>
      <c r="E640" s="36" t="s">
        <v>483</v>
      </c>
      <c r="F640" s="36" t="s">
        <v>482</v>
      </c>
      <c r="G640" s="36" t="s">
        <v>481</v>
      </c>
      <c r="H640" s="35" t="s">
        <v>774</v>
      </c>
      <c r="I640" s="35" t="s">
        <v>773</v>
      </c>
      <c r="J640" s="32" t="s">
        <v>479</v>
      </c>
    </row>
    <row r="641" spans="1:10" ht="15.75" customHeight="1" x14ac:dyDescent="0.3">
      <c r="A641" s="34" t="s">
        <v>772</v>
      </c>
      <c r="B641" s="33" t="s">
        <v>771</v>
      </c>
      <c r="C641" s="34">
        <v>2011</v>
      </c>
      <c r="D641" s="33" t="s">
        <v>770</v>
      </c>
      <c r="E641" s="34" t="s">
        <v>508</v>
      </c>
      <c r="F641" s="34" t="s">
        <v>482</v>
      </c>
      <c r="G641" s="34" t="s">
        <v>481</v>
      </c>
      <c r="H641" s="33"/>
      <c r="I641" s="33" t="s">
        <v>769</v>
      </c>
      <c r="J641" s="32" t="s">
        <v>479</v>
      </c>
    </row>
    <row r="642" spans="1:10" ht="15.75" customHeight="1" x14ac:dyDescent="0.3">
      <c r="A642" s="36" t="s">
        <v>768</v>
      </c>
      <c r="B642" s="35" t="s">
        <v>767</v>
      </c>
      <c r="C642" s="36">
        <v>2010</v>
      </c>
      <c r="D642" s="35" t="s">
        <v>766</v>
      </c>
      <c r="E642" s="36" t="s">
        <v>508</v>
      </c>
      <c r="F642" s="36" t="s">
        <v>482</v>
      </c>
      <c r="G642" s="36" t="s">
        <v>481</v>
      </c>
      <c r="H642" s="35"/>
      <c r="I642" s="35" t="s">
        <v>765</v>
      </c>
      <c r="J642" s="32" t="s">
        <v>479</v>
      </c>
    </row>
    <row r="643" spans="1:10" ht="15.75" customHeight="1" x14ac:dyDescent="0.3">
      <c r="A643" s="34" t="s">
        <v>764</v>
      </c>
      <c r="B643" s="33" t="s">
        <v>763</v>
      </c>
      <c r="C643" s="34">
        <v>2014</v>
      </c>
      <c r="D643" s="33" t="s">
        <v>762</v>
      </c>
      <c r="E643" s="34" t="s">
        <v>483</v>
      </c>
      <c r="F643" s="34" t="s">
        <v>482</v>
      </c>
      <c r="G643" s="34" t="s">
        <v>481</v>
      </c>
      <c r="H643" s="33" t="s">
        <v>761</v>
      </c>
      <c r="I643" s="33" t="s">
        <v>760</v>
      </c>
      <c r="J643" s="32" t="s">
        <v>479</v>
      </c>
    </row>
    <row r="644" spans="1:10" ht="15.75" customHeight="1" x14ac:dyDescent="0.3">
      <c r="A644" s="36" t="s">
        <v>759</v>
      </c>
      <c r="B644" s="35" t="s">
        <v>758</v>
      </c>
      <c r="C644" s="36">
        <v>2006</v>
      </c>
      <c r="D644" s="35" t="s">
        <v>757</v>
      </c>
      <c r="E644" s="36" t="s">
        <v>483</v>
      </c>
      <c r="F644" s="36" t="s">
        <v>482</v>
      </c>
      <c r="G644" s="36" t="s">
        <v>481</v>
      </c>
      <c r="H644" s="35" t="s">
        <v>756</v>
      </c>
      <c r="I644" s="35" t="s">
        <v>755</v>
      </c>
      <c r="J644" s="32" t="s">
        <v>479</v>
      </c>
    </row>
    <row r="645" spans="1:10" ht="15.75" customHeight="1" x14ac:dyDescent="0.3">
      <c r="A645" s="34" t="s">
        <v>754</v>
      </c>
      <c r="B645" s="33" t="s">
        <v>753</v>
      </c>
      <c r="C645" s="34">
        <v>2003</v>
      </c>
      <c r="D645" s="33" t="s">
        <v>752</v>
      </c>
      <c r="E645" s="34" t="s">
        <v>508</v>
      </c>
      <c r="F645" s="34" t="s">
        <v>482</v>
      </c>
      <c r="G645" s="34" t="s">
        <v>481</v>
      </c>
      <c r="H645" s="33"/>
      <c r="I645" s="33" t="s">
        <v>751</v>
      </c>
      <c r="J645" s="32" t="s">
        <v>479</v>
      </c>
    </row>
    <row r="646" spans="1:10" ht="15.75" customHeight="1" x14ac:dyDescent="0.3">
      <c r="A646" s="36" t="s">
        <v>750</v>
      </c>
      <c r="B646" s="35" t="s">
        <v>749</v>
      </c>
      <c r="C646" s="36">
        <v>2007</v>
      </c>
      <c r="D646" s="35" t="s">
        <v>748</v>
      </c>
      <c r="E646" s="36" t="s">
        <v>508</v>
      </c>
      <c r="F646" s="36" t="s">
        <v>482</v>
      </c>
      <c r="G646" s="36" t="s">
        <v>481</v>
      </c>
      <c r="H646" s="35"/>
      <c r="I646" s="35" t="s">
        <v>747</v>
      </c>
      <c r="J646" s="32" t="s">
        <v>479</v>
      </c>
    </row>
    <row r="647" spans="1:10" ht="15.75" customHeight="1" x14ac:dyDescent="0.3">
      <c r="A647" s="34" t="s">
        <v>746</v>
      </c>
      <c r="B647" s="33" t="s">
        <v>745</v>
      </c>
      <c r="C647" s="34">
        <v>2008</v>
      </c>
      <c r="D647" s="33" t="s">
        <v>744</v>
      </c>
      <c r="E647" s="34" t="s">
        <v>508</v>
      </c>
      <c r="F647" s="34" t="s">
        <v>482</v>
      </c>
      <c r="G647" s="34" t="s">
        <v>481</v>
      </c>
      <c r="H647" s="33"/>
      <c r="I647" s="33" t="s">
        <v>743</v>
      </c>
      <c r="J647" s="32" t="s">
        <v>479</v>
      </c>
    </row>
    <row r="648" spans="1:10" ht="15.75" customHeight="1" x14ac:dyDescent="0.3">
      <c r="A648" s="36" t="s">
        <v>742</v>
      </c>
      <c r="B648" s="35" t="s">
        <v>741</v>
      </c>
      <c r="C648" s="36">
        <v>2017</v>
      </c>
      <c r="D648" s="35" t="s">
        <v>740</v>
      </c>
      <c r="E648" s="36" t="s">
        <v>508</v>
      </c>
      <c r="F648" s="36" t="s">
        <v>482</v>
      </c>
      <c r="G648" s="36" t="s">
        <v>481</v>
      </c>
      <c r="H648" s="35" t="s">
        <v>739</v>
      </c>
      <c r="I648" s="35" t="s">
        <v>738</v>
      </c>
      <c r="J648" s="32" t="s">
        <v>479</v>
      </c>
    </row>
    <row r="649" spans="1:10" ht="15.75" customHeight="1" x14ac:dyDescent="0.3">
      <c r="A649" s="34" t="s">
        <v>737</v>
      </c>
      <c r="B649" s="33" t="s">
        <v>736</v>
      </c>
      <c r="C649" s="34">
        <v>2022</v>
      </c>
      <c r="D649" s="33" t="s">
        <v>735</v>
      </c>
      <c r="E649" s="34" t="s">
        <v>508</v>
      </c>
      <c r="F649" s="34" t="s">
        <v>482</v>
      </c>
      <c r="G649" s="34" t="s">
        <v>481</v>
      </c>
      <c r="H649" s="33" t="s">
        <v>734</v>
      </c>
      <c r="I649" s="33" t="s">
        <v>733</v>
      </c>
      <c r="J649" s="32" t="s">
        <v>479</v>
      </c>
    </row>
    <row r="650" spans="1:10" ht="15.75" customHeight="1" x14ac:dyDescent="0.3">
      <c r="A650" s="36" t="s">
        <v>732</v>
      </c>
      <c r="B650" s="35" t="s">
        <v>731</v>
      </c>
      <c r="C650" s="36">
        <v>2024</v>
      </c>
      <c r="D650" s="35" t="s">
        <v>730</v>
      </c>
      <c r="E650" s="36" t="s">
        <v>483</v>
      </c>
      <c r="F650" s="36" t="s">
        <v>482</v>
      </c>
      <c r="G650" s="36" t="s">
        <v>481</v>
      </c>
      <c r="H650" s="35" t="s">
        <v>729</v>
      </c>
      <c r="I650" s="35" t="s">
        <v>728</v>
      </c>
      <c r="J650" s="32" t="s">
        <v>479</v>
      </c>
    </row>
    <row r="651" spans="1:10" ht="15.75" customHeight="1" x14ac:dyDescent="0.3">
      <c r="A651" s="34" t="s">
        <v>727</v>
      </c>
      <c r="B651" s="33" t="s">
        <v>726</v>
      </c>
      <c r="C651" s="34">
        <v>2006</v>
      </c>
      <c r="D651" s="33" t="s">
        <v>725</v>
      </c>
      <c r="E651" s="34" t="s">
        <v>508</v>
      </c>
      <c r="F651" s="34" t="s">
        <v>482</v>
      </c>
      <c r="G651" s="34" t="s">
        <v>481</v>
      </c>
      <c r="H651" s="33"/>
      <c r="I651" s="33" t="s">
        <v>724</v>
      </c>
      <c r="J651" s="32" t="s">
        <v>479</v>
      </c>
    </row>
    <row r="652" spans="1:10" ht="15.75" customHeight="1" x14ac:dyDescent="0.3">
      <c r="A652" s="36" t="s">
        <v>723</v>
      </c>
      <c r="B652" s="35" t="s">
        <v>722</v>
      </c>
      <c r="C652" s="36">
        <v>2003</v>
      </c>
      <c r="D652" s="35" t="s">
        <v>503</v>
      </c>
      <c r="E652" s="36" t="s">
        <v>650</v>
      </c>
      <c r="F652" s="36" t="s">
        <v>482</v>
      </c>
      <c r="G652" s="36" t="s">
        <v>481</v>
      </c>
      <c r="H652" s="35" t="s">
        <v>721</v>
      </c>
      <c r="I652" s="35" t="s">
        <v>720</v>
      </c>
      <c r="J652" s="32" t="s">
        <v>479</v>
      </c>
    </row>
    <row r="653" spans="1:10" ht="15.75" customHeight="1" x14ac:dyDescent="0.3">
      <c r="A653" s="34" t="s">
        <v>719</v>
      </c>
      <c r="B653" s="33" t="s">
        <v>718</v>
      </c>
      <c r="C653" s="34">
        <v>2016</v>
      </c>
      <c r="D653" s="33" t="s">
        <v>717</v>
      </c>
      <c r="E653" s="34" t="s">
        <v>508</v>
      </c>
      <c r="F653" s="34" t="s">
        <v>482</v>
      </c>
      <c r="G653" s="34" t="s">
        <v>481</v>
      </c>
      <c r="H653" s="33"/>
      <c r="I653" s="33" t="s">
        <v>716</v>
      </c>
      <c r="J653" s="32" t="s">
        <v>479</v>
      </c>
    </row>
    <row r="654" spans="1:10" ht="15.75" customHeight="1" x14ac:dyDescent="0.3">
      <c r="A654" s="36" t="s">
        <v>715</v>
      </c>
      <c r="B654" s="35" t="s">
        <v>714</v>
      </c>
      <c r="C654" s="36">
        <v>2016</v>
      </c>
      <c r="D654" s="35" t="s">
        <v>713</v>
      </c>
      <c r="E654" s="36" t="s">
        <v>508</v>
      </c>
      <c r="F654" s="36" t="s">
        <v>482</v>
      </c>
      <c r="G654" s="36" t="s">
        <v>481</v>
      </c>
      <c r="H654" s="35"/>
      <c r="I654" s="35" t="s">
        <v>712</v>
      </c>
      <c r="J654" s="32" t="s">
        <v>479</v>
      </c>
    </row>
    <row r="655" spans="1:10" ht="15.75" customHeight="1" x14ac:dyDescent="0.3">
      <c r="A655" s="34" t="s">
        <v>711</v>
      </c>
      <c r="B655" s="33" t="s">
        <v>710</v>
      </c>
      <c r="C655" s="34">
        <v>2006</v>
      </c>
      <c r="D655" s="33" t="s">
        <v>709</v>
      </c>
      <c r="E655" s="34" t="s">
        <v>508</v>
      </c>
      <c r="F655" s="34" t="s">
        <v>482</v>
      </c>
      <c r="G655" s="34" t="s">
        <v>481</v>
      </c>
      <c r="H655" s="33"/>
      <c r="I655" s="33" t="s">
        <v>708</v>
      </c>
      <c r="J655" s="32" t="s">
        <v>479</v>
      </c>
    </row>
    <row r="656" spans="1:10" ht="15.75" customHeight="1" x14ac:dyDescent="0.3">
      <c r="A656" s="36" t="s">
        <v>707</v>
      </c>
      <c r="B656" s="35" t="s">
        <v>706</v>
      </c>
      <c r="C656" s="36">
        <v>2019</v>
      </c>
      <c r="D656" s="35" t="s">
        <v>705</v>
      </c>
      <c r="E656" s="36" t="s">
        <v>508</v>
      </c>
      <c r="F656" s="36" t="s">
        <v>482</v>
      </c>
      <c r="G656" s="36" t="s">
        <v>481</v>
      </c>
      <c r="H656" s="35" t="s">
        <v>704</v>
      </c>
      <c r="I656" s="35" t="s">
        <v>703</v>
      </c>
      <c r="J656" s="32" t="s">
        <v>479</v>
      </c>
    </row>
    <row r="657" spans="1:10" ht="15.75" customHeight="1" x14ac:dyDescent="0.3">
      <c r="A657" s="34" t="s">
        <v>702</v>
      </c>
      <c r="B657" s="33" t="s">
        <v>701</v>
      </c>
      <c r="C657" s="34">
        <v>2007</v>
      </c>
      <c r="D657" s="33" t="s">
        <v>700</v>
      </c>
      <c r="E657" s="34" t="s">
        <v>508</v>
      </c>
      <c r="F657" s="34" t="s">
        <v>482</v>
      </c>
      <c r="G657" s="34" t="s">
        <v>481</v>
      </c>
      <c r="H657" s="33"/>
      <c r="I657" s="33" t="s">
        <v>699</v>
      </c>
      <c r="J657" s="32" t="s">
        <v>479</v>
      </c>
    </row>
    <row r="658" spans="1:10" ht="15.75" customHeight="1" x14ac:dyDescent="0.3">
      <c r="A658" s="36" t="s">
        <v>698</v>
      </c>
      <c r="B658" s="35" t="s">
        <v>697</v>
      </c>
      <c r="C658" s="36">
        <v>2003</v>
      </c>
      <c r="D658" s="35" t="s">
        <v>696</v>
      </c>
      <c r="E658" s="36" t="s">
        <v>483</v>
      </c>
      <c r="F658" s="36" t="s">
        <v>482</v>
      </c>
      <c r="G658" s="36" t="s">
        <v>481</v>
      </c>
      <c r="H658" s="35" t="s">
        <v>695</v>
      </c>
      <c r="I658" s="35" t="s">
        <v>694</v>
      </c>
      <c r="J658" s="32" t="s">
        <v>479</v>
      </c>
    </row>
    <row r="659" spans="1:10" ht="15.75" customHeight="1" x14ac:dyDescent="0.3">
      <c r="A659" s="34" t="s">
        <v>693</v>
      </c>
      <c r="B659" s="33" t="s">
        <v>692</v>
      </c>
      <c r="C659" s="34">
        <v>2025</v>
      </c>
      <c r="D659" s="33" t="s">
        <v>691</v>
      </c>
      <c r="E659" s="34" t="s">
        <v>483</v>
      </c>
      <c r="F659" s="34" t="s">
        <v>482</v>
      </c>
      <c r="G659" s="34" t="s">
        <v>481</v>
      </c>
      <c r="H659" s="33" t="s">
        <v>690</v>
      </c>
      <c r="I659" s="33" t="s">
        <v>689</v>
      </c>
      <c r="J659" s="32" t="s">
        <v>479</v>
      </c>
    </row>
    <row r="660" spans="1:10" ht="15.75" customHeight="1" x14ac:dyDescent="0.3">
      <c r="A660" s="36" t="s">
        <v>688</v>
      </c>
      <c r="B660" s="35" t="s">
        <v>687</v>
      </c>
      <c r="C660" s="36">
        <v>2004</v>
      </c>
      <c r="D660" s="35" t="s">
        <v>686</v>
      </c>
      <c r="E660" s="36" t="s">
        <v>650</v>
      </c>
      <c r="F660" s="36" t="s">
        <v>482</v>
      </c>
      <c r="G660" s="36" t="s">
        <v>481</v>
      </c>
      <c r="H660" s="35" t="s">
        <v>685</v>
      </c>
      <c r="I660" s="35" t="s">
        <v>684</v>
      </c>
      <c r="J660" s="32" t="s">
        <v>479</v>
      </c>
    </row>
    <row r="661" spans="1:10" ht="15.75" customHeight="1" x14ac:dyDescent="0.3">
      <c r="A661" s="34" t="s">
        <v>683</v>
      </c>
      <c r="B661" s="33" t="s">
        <v>682</v>
      </c>
      <c r="C661" s="34">
        <v>2024</v>
      </c>
      <c r="D661" s="33" t="s">
        <v>681</v>
      </c>
      <c r="E661" s="34" t="s">
        <v>483</v>
      </c>
      <c r="F661" s="34" t="s">
        <v>482</v>
      </c>
      <c r="G661" s="34" t="s">
        <v>481</v>
      </c>
      <c r="H661" s="33" t="s">
        <v>680</v>
      </c>
      <c r="I661" s="33" t="s">
        <v>679</v>
      </c>
      <c r="J661" s="32" t="s">
        <v>479</v>
      </c>
    </row>
    <row r="662" spans="1:10" ht="15.75" customHeight="1" x14ac:dyDescent="0.3">
      <c r="A662" s="36" t="s">
        <v>678</v>
      </c>
      <c r="B662" s="35" t="s">
        <v>677</v>
      </c>
      <c r="C662" s="36">
        <v>2011</v>
      </c>
      <c r="D662" s="35" t="s">
        <v>676</v>
      </c>
      <c r="E662" s="36" t="s">
        <v>508</v>
      </c>
      <c r="F662" s="36" t="s">
        <v>482</v>
      </c>
      <c r="G662" s="36" t="s">
        <v>481</v>
      </c>
      <c r="H662" s="35" t="s">
        <v>675</v>
      </c>
      <c r="I662" s="35" t="s">
        <v>674</v>
      </c>
      <c r="J662" s="32" t="s">
        <v>479</v>
      </c>
    </row>
    <row r="663" spans="1:10" ht="15.75" customHeight="1" x14ac:dyDescent="0.3">
      <c r="A663" s="34" t="s">
        <v>673</v>
      </c>
      <c r="B663" s="33" t="s">
        <v>672</v>
      </c>
      <c r="C663" s="34">
        <v>2021</v>
      </c>
      <c r="D663" s="33" t="s">
        <v>671</v>
      </c>
      <c r="E663" s="34" t="s">
        <v>483</v>
      </c>
      <c r="F663" s="34" t="s">
        <v>482</v>
      </c>
      <c r="G663" s="34" t="s">
        <v>481</v>
      </c>
      <c r="H663" s="33" t="s">
        <v>670</v>
      </c>
      <c r="I663" s="33" t="s">
        <v>669</v>
      </c>
      <c r="J663" s="32" t="s">
        <v>479</v>
      </c>
    </row>
    <row r="664" spans="1:10" ht="15.75" customHeight="1" x14ac:dyDescent="0.3">
      <c r="A664" s="36" t="s">
        <v>668</v>
      </c>
      <c r="B664" s="35" t="s">
        <v>667</v>
      </c>
      <c r="C664" s="36">
        <v>2019</v>
      </c>
      <c r="D664" s="35" t="s">
        <v>666</v>
      </c>
      <c r="E664" s="36" t="s">
        <v>508</v>
      </c>
      <c r="F664" s="36" t="s">
        <v>482</v>
      </c>
      <c r="G664" s="36" t="s">
        <v>481</v>
      </c>
      <c r="H664" s="35" t="s">
        <v>665</v>
      </c>
      <c r="I664" s="35" t="s">
        <v>664</v>
      </c>
      <c r="J664" s="32" t="s">
        <v>479</v>
      </c>
    </row>
    <row r="665" spans="1:10" ht="15.75" customHeight="1" x14ac:dyDescent="0.3">
      <c r="A665" s="34" t="s">
        <v>663</v>
      </c>
      <c r="B665" s="33" t="s">
        <v>662</v>
      </c>
      <c r="C665" s="34">
        <v>2021</v>
      </c>
      <c r="D665" s="33" t="s">
        <v>661</v>
      </c>
      <c r="E665" s="34" t="s">
        <v>508</v>
      </c>
      <c r="F665" s="34" t="s">
        <v>482</v>
      </c>
      <c r="G665" s="34" t="s">
        <v>481</v>
      </c>
      <c r="H665" s="33" t="s">
        <v>660</v>
      </c>
      <c r="I665" s="33" t="s">
        <v>659</v>
      </c>
      <c r="J665" s="32" t="s">
        <v>479</v>
      </c>
    </row>
    <row r="666" spans="1:10" ht="15.75" customHeight="1" x14ac:dyDescent="0.3">
      <c r="A666" s="36" t="s">
        <v>658</v>
      </c>
      <c r="B666" s="35" t="s">
        <v>657</v>
      </c>
      <c r="C666" s="36">
        <v>2019</v>
      </c>
      <c r="D666" s="35" t="s">
        <v>656</v>
      </c>
      <c r="E666" s="36" t="s">
        <v>483</v>
      </c>
      <c r="F666" s="36" t="s">
        <v>482</v>
      </c>
      <c r="G666" s="36" t="s">
        <v>481</v>
      </c>
      <c r="H666" s="35" t="s">
        <v>655</v>
      </c>
      <c r="I666" s="35" t="s">
        <v>654</v>
      </c>
      <c r="J666" s="32" t="s">
        <v>479</v>
      </c>
    </row>
    <row r="667" spans="1:10" ht="15.75" customHeight="1" x14ac:dyDescent="0.3">
      <c r="A667" s="34" t="s">
        <v>653</v>
      </c>
      <c r="B667" s="33" t="s">
        <v>652</v>
      </c>
      <c r="C667" s="34">
        <v>2022</v>
      </c>
      <c r="D667" s="33" t="s">
        <v>651</v>
      </c>
      <c r="E667" s="34" t="s">
        <v>650</v>
      </c>
      <c r="F667" s="34" t="s">
        <v>482</v>
      </c>
      <c r="G667" s="34" t="s">
        <v>481</v>
      </c>
      <c r="H667" s="33" t="s">
        <v>649</v>
      </c>
      <c r="I667" s="33" t="s">
        <v>648</v>
      </c>
      <c r="J667" s="32" t="s">
        <v>479</v>
      </c>
    </row>
    <row r="668" spans="1:10" ht="15.75" customHeight="1" x14ac:dyDescent="0.3">
      <c r="A668" s="36" t="s">
        <v>647</v>
      </c>
      <c r="B668" s="35" t="s">
        <v>646</v>
      </c>
      <c r="C668" s="36">
        <v>2008</v>
      </c>
      <c r="D668" s="35" t="s">
        <v>645</v>
      </c>
      <c r="E668" s="36" t="s">
        <v>508</v>
      </c>
      <c r="F668" s="36" t="s">
        <v>482</v>
      </c>
      <c r="G668" s="36" t="s">
        <v>481</v>
      </c>
      <c r="H668" s="35"/>
      <c r="I668" s="35" t="s">
        <v>644</v>
      </c>
      <c r="J668" s="32" t="s">
        <v>479</v>
      </c>
    </row>
    <row r="669" spans="1:10" ht="15.75" customHeight="1" x14ac:dyDescent="0.3">
      <c r="A669" s="34" t="s">
        <v>643</v>
      </c>
      <c r="B669" s="33" t="s">
        <v>642</v>
      </c>
      <c r="C669" s="34">
        <v>2024</v>
      </c>
      <c r="D669" s="33" t="s">
        <v>641</v>
      </c>
      <c r="E669" s="34" t="s">
        <v>483</v>
      </c>
      <c r="F669" s="34" t="s">
        <v>482</v>
      </c>
      <c r="G669" s="34" t="s">
        <v>481</v>
      </c>
      <c r="H669" s="33" t="s">
        <v>640</v>
      </c>
      <c r="I669" s="33" t="s">
        <v>639</v>
      </c>
      <c r="J669" s="32" t="s">
        <v>479</v>
      </c>
    </row>
    <row r="670" spans="1:10" ht="15.75" customHeight="1" x14ac:dyDescent="0.3">
      <c r="A670" s="36" t="s">
        <v>638</v>
      </c>
      <c r="B670" s="35" t="s">
        <v>637</v>
      </c>
      <c r="C670" s="36">
        <v>2015</v>
      </c>
      <c r="D670" s="35" t="s">
        <v>636</v>
      </c>
      <c r="E670" s="36" t="s">
        <v>483</v>
      </c>
      <c r="F670" s="36" t="s">
        <v>482</v>
      </c>
      <c r="G670" s="36" t="s">
        <v>481</v>
      </c>
      <c r="H670" s="35" t="s">
        <v>635</v>
      </c>
      <c r="I670" s="35" t="s">
        <v>634</v>
      </c>
      <c r="J670" s="32" t="s">
        <v>479</v>
      </c>
    </row>
    <row r="671" spans="1:10" ht="15.75" customHeight="1" x14ac:dyDescent="0.3">
      <c r="A671" s="34" t="s">
        <v>633</v>
      </c>
      <c r="B671" s="33" t="s">
        <v>632</v>
      </c>
      <c r="C671" s="34">
        <v>2017</v>
      </c>
      <c r="D671" s="33" t="s">
        <v>631</v>
      </c>
      <c r="E671" s="34" t="s">
        <v>508</v>
      </c>
      <c r="F671" s="34" t="s">
        <v>482</v>
      </c>
      <c r="G671" s="34" t="s">
        <v>481</v>
      </c>
      <c r="H671" s="33"/>
      <c r="I671" s="33" t="s">
        <v>630</v>
      </c>
      <c r="J671" s="32" t="s">
        <v>479</v>
      </c>
    </row>
    <row r="672" spans="1:10" ht="15.75" customHeight="1" x14ac:dyDescent="0.3">
      <c r="A672" s="36" t="s">
        <v>629</v>
      </c>
      <c r="B672" s="35" t="s">
        <v>628</v>
      </c>
      <c r="C672" s="36">
        <v>2023</v>
      </c>
      <c r="D672" s="35" t="s">
        <v>627</v>
      </c>
      <c r="E672" s="36" t="s">
        <v>483</v>
      </c>
      <c r="F672" s="36" t="s">
        <v>482</v>
      </c>
      <c r="G672" s="36" t="s">
        <v>481</v>
      </c>
      <c r="H672" s="35" t="s">
        <v>626</v>
      </c>
      <c r="I672" s="35" t="s">
        <v>625</v>
      </c>
      <c r="J672" s="32" t="s">
        <v>479</v>
      </c>
    </row>
    <row r="673" spans="1:10" ht="15.75" customHeight="1" x14ac:dyDescent="0.3">
      <c r="A673" s="34" t="s">
        <v>624</v>
      </c>
      <c r="B673" s="33" t="s">
        <v>623</v>
      </c>
      <c r="C673" s="34">
        <v>2014</v>
      </c>
      <c r="D673" s="33" t="s">
        <v>622</v>
      </c>
      <c r="E673" s="34" t="s">
        <v>508</v>
      </c>
      <c r="F673" s="34" t="s">
        <v>482</v>
      </c>
      <c r="G673" s="34" t="s">
        <v>481</v>
      </c>
      <c r="H673" s="33" t="s">
        <v>621</v>
      </c>
      <c r="I673" s="33" t="s">
        <v>620</v>
      </c>
      <c r="J673" s="32" t="s">
        <v>479</v>
      </c>
    </row>
    <row r="674" spans="1:10" ht="15.75" customHeight="1" x14ac:dyDescent="0.3">
      <c r="A674" s="36" t="s">
        <v>619</v>
      </c>
      <c r="B674" s="35" t="s">
        <v>618</v>
      </c>
      <c r="C674" s="36">
        <v>2018</v>
      </c>
      <c r="D674" s="35" t="s">
        <v>566</v>
      </c>
      <c r="E674" s="36" t="s">
        <v>483</v>
      </c>
      <c r="F674" s="36" t="s">
        <v>482</v>
      </c>
      <c r="G674" s="36" t="s">
        <v>481</v>
      </c>
      <c r="H674" s="35" t="s">
        <v>617</v>
      </c>
      <c r="I674" s="35" t="s">
        <v>616</v>
      </c>
      <c r="J674" s="32" t="s">
        <v>479</v>
      </c>
    </row>
    <row r="675" spans="1:10" ht="15.75" customHeight="1" x14ac:dyDescent="0.3">
      <c r="A675" s="34" t="s">
        <v>615</v>
      </c>
      <c r="B675" s="33" t="s">
        <v>614</v>
      </c>
      <c r="C675" s="34">
        <v>2006</v>
      </c>
      <c r="D675" s="33" t="s">
        <v>613</v>
      </c>
      <c r="E675" s="34" t="s">
        <v>508</v>
      </c>
      <c r="F675" s="34" t="s">
        <v>482</v>
      </c>
      <c r="G675" s="34" t="s">
        <v>481</v>
      </c>
      <c r="H675" s="33"/>
      <c r="I675" s="33" t="s">
        <v>612</v>
      </c>
      <c r="J675" s="32" t="s">
        <v>479</v>
      </c>
    </row>
    <row r="676" spans="1:10" ht="15.75" customHeight="1" x14ac:dyDescent="0.3">
      <c r="A676" s="36" t="s">
        <v>611</v>
      </c>
      <c r="B676" s="35" t="s">
        <v>610</v>
      </c>
      <c r="C676" s="36">
        <v>2009</v>
      </c>
      <c r="D676" s="35" t="s">
        <v>548</v>
      </c>
      <c r="E676" s="36" t="s">
        <v>483</v>
      </c>
      <c r="F676" s="36" t="s">
        <v>482</v>
      </c>
      <c r="G676" s="36" t="s">
        <v>481</v>
      </c>
      <c r="H676" s="35" t="s">
        <v>609</v>
      </c>
      <c r="I676" s="35" t="s">
        <v>608</v>
      </c>
      <c r="J676" s="32" t="s">
        <v>479</v>
      </c>
    </row>
    <row r="677" spans="1:10" ht="15.75" customHeight="1" x14ac:dyDescent="0.3">
      <c r="A677" s="34" t="s">
        <v>607</v>
      </c>
      <c r="B677" s="33" t="s">
        <v>606</v>
      </c>
      <c r="C677" s="34">
        <v>2011</v>
      </c>
      <c r="D677" s="33" t="s">
        <v>605</v>
      </c>
      <c r="E677" s="34" t="s">
        <v>508</v>
      </c>
      <c r="F677" s="34" t="s">
        <v>482</v>
      </c>
      <c r="G677" s="34" t="s">
        <v>481</v>
      </c>
      <c r="H677" s="33"/>
      <c r="I677" s="33" t="s">
        <v>604</v>
      </c>
      <c r="J677" s="32" t="s">
        <v>479</v>
      </c>
    </row>
    <row r="678" spans="1:10" ht="15.75" customHeight="1" x14ac:dyDescent="0.3">
      <c r="A678" s="36" t="s">
        <v>603</v>
      </c>
      <c r="B678" s="35" t="s">
        <v>602</v>
      </c>
      <c r="C678" s="36">
        <v>2025</v>
      </c>
      <c r="D678" s="35" t="s">
        <v>519</v>
      </c>
      <c r="E678" s="36" t="s">
        <v>483</v>
      </c>
      <c r="F678" s="36" t="s">
        <v>482</v>
      </c>
      <c r="G678" s="36" t="s">
        <v>481</v>
      </c>
      <c r="H678" s="35" t="s">
        <v>601</v>
      </c>
      <c r="I678" s="35" t="s">
        <v>600</v>
      </c>
      <c r="J678" s="32" t="s">
        <v>479</v>
      </c>
    </row>
    <row r="679" spans="1:10" ht="15.75" customHeight="1" x14ac:dyDescent="0.3">
      <c r="A679" s="34" t="s">
        <v>599</v>
      </c>
      <c r="B679" s="33" t="s">
        <v>598</v>
      </c>
      <c r="C679" s="34">
        <v>2014</v>
      </c>
      <c r="D679" s="33" t="s">
        <v>597</v>
      </c>
      <c r="E679" s="34" t="s">
        <v>508</v>
      </c>
      <c r="F679" s="34" t="s">
        <v>482</v>
      </c>
      <c r="G679" s="34" t="s">
        <v>481</v>
      </c>
      <c r="H679" s="33"/>
      <c r="I679" s="33" t="s">
        <v>596</v>
      </c>
      <c r="J679" s="32" t="s">
        <v>479</v>
      </c>
    </row>
    <row r="680" spans="1:10" ht="15.75" customHeight="1" x14ac:dyDescent="0.3">
      <c r="A680" s="36" t="s">
        <v>595</v>
      </c>
      <c r="B680" s="35" t="s">
        <v>594</v>
      </c>
      <c r="C680" s="36">
        <v>2013</v>
      </c>
      <c r="D680" s="35" t="s">
        <v>593</v>
      </c>
      <c r="E680" s="36" t="s">
        <v>483</v>
      </c>
      <c r="F680" s="36" t="s">
        <v>482</v>
      </c>
      <c r="G680" s="36" t="s">
        <v>481</v>
      </c>
      <c r="H680" s="35" t="s">
        <v>592</v>
      </c>
      <c r="I680" s="35" t="s">
        <v>591</v>
      </c>
      <c r="J680" s="32" t="s">
        <v>479</v>
      </c>
    </row>
    <row r="681" spans="1:10" ht="15.75" customHeight="1" x14ac:dyDescent="0.3">
      <c r="A681" s="34" t="s">
        <v>590</v>
      </c>
      <c r="B681" s="33" t="s">
        <v>589</v>
      </c>
      <c r="C681" s="34">
        <v>2005</v>
      </c>
      <c r="D681" s="33" t="s">
        <v>588</v>
      </c>
      <c r="E681" s="34" t="s">
        <v>508</v>
      </c>
      <c r="F681" s="34" t="s">
        <v>482</v>
      </c>
      <c r="G681" s="34" t="s">
        <v>481</v>
      </c>
      <c r="H681" s="33"/>
      <c r="I681" s="33" t="s">
        <v>587</v>
      </c>
      <c r="J681" s="32" t="s">
        <v>479</v>
      </c>
    </row>
    <row r="682" spans="1:10" ht="15.75" customHeight="1" x14ac:dyDescent="0.3">
      <c r="A682" s="36" t="s">
        <v>586</v>
      </c>
      <c r="B682" s="35" t="s">
        <v>585</v>
      </c>
      <c r="C682" s="36">
        <v>2013</v>
      </c>
      <c r="D682" s="35" t="s">
        <v>584</v>
      </c>
      <c r="E682" s="36" t="s">
        <v>508</v>
      </c>
      <c r="F682" s="36" t="s">
        <v>482</v>
      </c>
      <c r="G682" s="36" t="s">
        <v>481</v>
      </c>
      <c r="H682" s="35" t="s">
        <v>583</v>
      </c>
      <c r="I682" s="35" t="s">
        <v>582</v>
      </c>
      <c r="J682" s="32" t="s">
        <v>479</v>
      </c>
    </row>
    <row r="683" spans="1:10" ht="15.75" customHeight="1" x14ac:dyDescent="0.3">
      <c r="A683" s="34" t="s">
        <v>581</v>
      </c>
      <c r="B683" s="33" t="s">
        <v>580</v>
      </c>
      <c r="C683" s="34">
        <v>2022</v>
      </c>
      <c r="D683" s="33" t="s">
        <v>579</v>
      </c>
      <c r="E683" s="34" t="s">
        <v>483</v>
      </c>
      <c r="F683" s="34" t="s">
        <v>482</v>
      </c>
      <c r="G683" s="34" t="s">
        <v>481</v>
      </c>
      <c r="H683" s="33" t="s">
        <v>578</v>
      </c>
      <c r="I683" s="33" t="s">
        <v>577</v>
      </c>
      <c r="J683" s="32" t="s">
        <v>479</v>
      </c>
    </row>
    <row r="684" spans="1:10" ht="15.75" customHeight="1" x14ac:dyDescent="0.3">
      <c r="A684" s="36" t="s">
        <v>288</v>
      </c>
      <c r="B684" s="35" t="s">
        <v>576</v>
      </c>
      <c r="C684" s="36">
        <v>2023</v>
      </c>
      <c r="D684" s="35" t="s">
        <v>575</v>
      </c>
      <c r="E684" s="36" t="s">
        <v>483</v>
      </c>
      <c r="F684" s="36" t="s">
        <v>482</v>
      </c>
      <c r="G684" s="36" t="s">
        <v>481</v>
      </c>
      <c r="H684" s="35" t="s">
        <v>574</v>
      </c>
      <c r="I684" s="35" t="s">
        <v>573</v>
      </c>
      <c r="J684" s="32" t="s">
        <v>479</v>
      </c>
    </row>
    <row r="685" spans="1:10" ht="15.75" customHeight="1" x14ac:dyDescent="0.3">
      <c r="A685" s="34" t="s">
        <v>572</v>
      </c>
      <c r="B685" s="33" t="s">
        <v>571</v>
      </c>
      <c r="C685" s="34">
        <v>2010</v>
      </c>
      <c r="D685" s="33" t="s">
        <v>570</v>
      </c>
      <c r="E685" s="34" t="s">
        <v>508</v>
      </c>
      <c r="F685" s="34" t="s">
        <v>482</v>
      </c>
      <c r="G685" s="34" t="s">
        <v>481</v>
      </c>
      <c r="H685" s="33"/>
      <c r="I685" s="33" t="s">
        <v>569</v>
      </c>
      <c r="J685" s="32" t="s">
        <v>479</v>
      </c>
    </row>
    <row r="686" spans="1:10" ht="15.75" customHeight="1" x14ac:dyDescent="0.3">
      <c r="A686" s="36" t="s">
        <v>568</v>
      </c>
      <c r="B686" s="35" t="s">
        <v>567</v>
      </c>
      <c r="C686" s="36">
        <v>2005</v>
      </c>
      <c r="D686" s="35" t="s">
        <v>566</v>
      </c>
      <c r="E686" s="36" t="s">
        <v>483</v>
      </c>
      <c r="F686" s="36" t="s">
        <v>482</v>
      </c>
      <c r="G686" s="36" t="s">
        <v>481</v>
      </c>
      <c r="H686" s="35" t="s">
        <v>565</v>
      </c>
      <c r="I686" s="35" t="s">
        <v>564</v>
      </c>
      <c r="J686" s="32" t="s">
        <v>479</v>
      </c>
    </row>
    <row r="687" spans="1:10" ht="15.75" customHeight="1" x14ac:dyDescent="0.3">
      <c r="A687" s="34" t="s">
        <v>563</v>
      </c>
      <c r="B687" s="33" t="s">
        <v>562</v>
      </c>
      <c r="C687" s="34">
        <v>2007</v>
      </c>
      <c r="D687" s="33" t="s">
        <v>561</v>
      </c>
      <c r="E687" s="34" t="s">
        <v>483</v>
      </c>
      <c r="F687" s="34" t="s">
        <v>482</v>
      </c>
      <c r="G687" s="34" t="s">
        <v>481</v>
      </c>
      <c r="H687" s="33" t="s">
        <v>560</v>
      </c>
      <c r="I687" s="33" t="s">
        <v>559</v>
      </c>
      <c r="J687" s="32" t="s">
        <v>479</v>
      </c>
    </row>
    <row r="688" spans="1:10" ht="15.75" customHeight="1" x14ac:dyDescent="0.3">
      <c r="A688" s="36" t="s">
        <v>558</v>
      </c>
      <c r="B688" s="35" t="s">
        <v>557</v>
      </c>
      <c r="C688" s="36">
        <v>2009</v>
      </c>
      <c r="D688" s="35" t="s">
        <v>556</v>
      </c>
      <c r="E688" s="36" t="s">
        <v>533</v>
      </c>
      <c r="F688" s="36" t="s">
        <v>482</v>
      </c>
      <c r="G688" s="36" t="s">
        <v>481</v>
      </c>
      <c r="H688" s="35"/>
      <c r="I688" s="35" t="s">
        <v>555</v>
      </c>
      <c r="J688" s="32" t="s">
        <v>479</v>
      </c>
    </row>
    <row r="689" spans="1:10" ht="15.75" customHeight="1" x14ac:dyDescent="0.3">
      <c r="A689" s="34" t="s">
        <v>554</v>
      </c>
      <c r="B689" s="33" t="s">
        <v>553</v>
      </c>
      <c r="C689" s="34">
        <v>2017</v>
      </c>
      <c r="D689" s="33" t="s">
        <v>552</v>
      </c>
      <c r="E689" s="34" t="s">
        <v>508</v>
      </c>
      <c r="F689" s="34" t="s">
        <v>482</v>
      </c>
      <c r="G689" s="34" t="s">
        <v>481</v>
      </c>
      <c r="H689" s="33"/>
      <c r="I689" s="33" t="s">
        <v>551</v>
      </c>
      <c r="J689" s="32" t="s">
        <v>479</v>
      </c>
    </row>
    <row r="690" spans="1:10" ht="15.75" customHeight="1" x14ac:dyDescent="0.3">
      <c r="A690" s="36" t="s">
        <v>550</v>
      </c>
      <c r="B690" s="35" t="s">
        <v>549</v>
      </c>
      <c r="C690" s="36">
        <v>2007</v>
      </c>
      <c r="D690" s="35" t="s">
        <v>548</v>
      </c>
      <c r="E690" s="36" t="s">
        <v>483</v>
      </c>
      <c r="F690" s="36" t="s">
        <v>482</v>
      </c>
      <c r="G690" s="36" t="s">
        <v>481</v>
      </c>
      <c r="H690" s="35" t="s">
        <v>547</v>
      </c>
      <c r="I690" s="35" t="s">
        <v>546</v>
      </c>
      <c r="J690" s="32" t="s">
        <v>479</v>
      </c>
    </row>
    <row r="691" spans="1:10" ht="15.75" customHeight="1" x14ac:dyDescent="0.3">
      <c r="A691" s="34" t="s">
        <v>545</v>
      </c>
      <c r="B691" s="33" t="s">
        <v>544</v>
      </c>
      <c r="C691" s="34">
        <v>2007</v>
      </c>
      <c r="D691" s="33" t="s">
        <v>543</v>
      </c>
      <c r="E691" s="34" t="s">
        <v>508</v>
      </c>
      <c r="F691" s="34" t="s">
        <v>482</v>
      </c>
      <c r="G691" s="34" t="s">
        <v>481</v>
      </c>
      <c r="H691" s="33"/>
      <c r="I691" s="33" t="s">
        <v>542</v>
      </c>
      <c r="J691" s="32" t="s">
        <v>479</v>
      </c>
    </row>
    <row r="692" spans="1:10" ht="15.75" customHeight="1" x14ac:dyDescent="0.3">
      <c r="A692" s="36" t="s">
        <v>541</v>
      </c>
      <c r="B692" s="35" t="s">
        <v>540</v>
      </c>
      <c r="C692" s="36">
        <v>2018</v>
      </c>
      <c r="D692" s="35" t="s">
        <v>539</v>
      </c>
      <c r="E692" s="36" t="s">
        <v>483</v>
      </c>
      <c r="F692" s="36" t="s">
        <v>482</v>
      </c>
      <c r="G692" s="36" t="s">
        <v>481</v>
      </c>
      <c r="H692" s="35" t="s">
        <v>538</v>
      </c>
      <c r="I692" s="35" t="s">
        <v>537</v>
      </c>
      <c r="J692" s="32" t="s">
        <v>479</v>
      </c>
    </row>
    <row r="693" spans="1:10" ht="15.75" customHeight="1" x14ac:dyDescent="0.3">
      <c r="A693" s="34" t="s">
        <v>536</v>
      </c>
      <c r="B693" s="33" t="s">
        <v>535</v>
      </c>
      <c r="C693" s="34">
        <v>2002</v>
      </c>
      <c r="D693" s="33" t="s">
        <v>534</v>
      </c>
      <c r="E693" s="34" t="s">
        <v>533</v>
      </c>
      <c r="F693" s="34" t="s">
        <v>482</v>
      </c>
      <c r="G693" s="34" t="s">
        <v>481</v>
      </c>
      <c r="H693" s="33" t="s">
        <v>532</v>
      </c>
      <c r="I693" s="33" t="s">
        <v>531</v>
      </c>
      <c r="J693" s="32" t="s">
        <v>479</v>
      </c>
    </row>
    <row r="694" spans="1:10" ht="15.75" customHeight="1" x14ac:dyDescent="0.3">
      <c r="A694" s="36" t="s">
        <v>530</v>
      </c>
      <c r="B694" s="35" t="s">
        <v>529</v>
      </c>
      <c r="C694" s="36">
        <v>2021</v>
      </c>
      <c r="D694" s="35" t="s">
        <v>528</v>
      </c>
      <c r="E694" s="36" t="s">
        <v>483</v>
      </c>
      <c r="F694" s="36" t="s">
        <v>482</v>
      </c>
      <c r="G694" s="36" t="s">
        <v>481</v>
      </c>
      <c r="H694" s="35" t="s">
        <v>527</v>
      </c>
      <c r="I694" s="35" t="s">
        <v>526</v>
      </c>
      <c r="J694" s="32" t="s">
        <v>479</v>
      </c>
    </row>
    <row r="695" spans="1:10" ht="15.75" customHeight="1" x14ac:dyDescent="0.3">
      <c r="A695" s="34" t="s">
        <v>291</v>
      </c>
      <c r="B695" s="33" t="s">
        <v>525</v>
      </c>
      <c r="C695" s="34">
        <v>2023</v>
      </c>
      <c r="D695" s="33" t="s">
        <v>524</v>
      </c>
      <c r="E695" s="34" t="s">
        <v>483</v>
      </c>
      <c r="F695" s="34" t="s">
        <v>482</v>
      </c>
      <c r="G695" s="34" t="s">
        <v>481</v>
      </c>
      <c r="H695" s="33" t="s">
        <v>523</v>
      </c>
      <c r="I695" s="33" t="s">
        <v>522</v>
      </c>
      <c r="J695" s="32" t="s">
        <v>479</v>
      </c>
    </row>
    <row r="696" spans="1:10" ht="15.75" customHeight="1" x14ac:dyDescent="0.3">
      <c r="A696" s="36" t="s">
        <v>521</v>
      </c>
      <c r="B696" s="35" t="s">
        <v>520</v>
      </c>
      <c r="C696" s="36">
        <v>2022</v>
      </c>
      <c r="D696" s="35" t="s">
        <v>519</v>
      </c>
      <c r="E696" s="36" t="s">
        <v>483</v>
      </c>
      <c r="F696" s="36" t="s">
        <v>482</v>
      </c>
      <c r="G696" s="36" t="s">
        <v>481</v>
      </c>
      <c r="H696" s="35" t="s">
        <v>518</v>
      </c>
      <c r="I696" s="35" t="s">
        <v>517</v>
      </c>
      <c r="J696" s="32" t="s">
        <v>479</v>
      </c>
    </row>
    <row r="697" spans="1:10" ht="15.75" customHeight="1" x14ac:dyDescent="0.3">
      <c r="A697" s="34" t="s">
        <v>516</v>
      </c>
      <c r="B697" s="33" t="s">
        <v>515</v>
      </c>
      <c r="C697" s="34">
        <v>2018</v>
      </c>
      <c r="D697" s="33" t="s">
        <v>514</v>
      </c>
      <c r="E697" s="34" t="s">
        <v>483</v>
      </c>
      <c r="F697" s="34" t="s">
        <v>482</v>
      </c>
      <c r="G697" s="34" t="s">
        <v>481</v>
      </c>
      <c r="H697" s="33" t="s">
        <v>513</v>
      </c>
      <c r="I697" s="33" t="s">
        <v>512</v>
      </c>
      <c r="J697" s="32" t="s">
        <v>479</v>
      </c>
    </row>
    <row r="698" spans="1:10" ht="15.75" customHeight="1" x14ac:dyDescent="0.3">
      <c r="A698" s="36" t="s">
        <v>511</v>
      </c>
      <c r="B698" s="35" t="s">
        <v>510</v>
      </c>
      <c r="C698" s="36">
        <v>2020</v>
      </c>
      <c r="D698" s="35" t="s">
        <v>509</v>
      </c>
      <c r="E698" s="36" t="s">
        <v>508</v>
      </c>
      <c r="F698" s="36" t="s">
        <v>482</v>
      </c>
      <c r="G698" s="36" t="s">
        <v>481</v>
      </c>
      <c r="H698" s="35" t="s">
        <v>507</v>
      </c>
      <c r="I698" s="35" t="s">
        <v>506</v>
      </c>
      <c r="J698" s="32" t="s">
        <v>479</v>
      </c>
    </row>
    <row r="699" spans="1:10" ht="15.75" customHeight="1" x14ac:dyDescent="0.3">
      <c r="A699" s="34" t="s">
        <v>505</v>
      </c>
      <c r="B699" s="33" t="s">
        <v>504</v>
      </c>
      <c r="C699" s="34">
        <v>2017</v>
      </c>
      <c r="D699" s="33" t="s">
        <v>503</v>
      </c>
      <c r="E699" s="34" t="s">
        <v>483</v>
      </c>
      <c r="F699" s="34" t="s">
        <v>482</v>
      </c>
      <c r="G699" s="34" t="s">
        <v>481</v>
      </c>
      <c r="H699" s="33" t="s">
        <v>502</v>
      </c>
      <c r="I699" s="33" t="s">
        <v>501</v>
      </c>
      <c r="J699" s="32" t="s">
        <v>479</v>
      </c>
    </row>
    <row r="700" spans="1:10" ht="15.75" customHeight="1" x14ac:dyDescent="0.3">
      <c r="A700" s="36" t="s">
        <v>500</v>
      </c>
      <c r="B700" s="35" t="s">
        <v>499</v>
      </c>
      <c r="C700" s="36">
        <v>2021</v>
      </c>
      <c r="D700" s="35" t="s">
        <v>498</v>
      </c>
      <c r="E700" s="36" t="s">
        <v>483</v>
      </c>
      <c r="F700" s="36" t="s">
        <v>482</v>
      </c>
      <c r="G700" s="36" t="s">
        <v>481</v>
      </c>
      <c r="H700" s="35" t="s">
        <v>497</v>
      </c>
      <c r="I700" s="35" t="s">
        <v>496</v>
      </c>
      <c r="J700" s="32" t="s">
        <v>479</v>
      </c>
    </row>
    <row r="701" spans="1:10" ht="15.75" customHeight="1" x14ac:dyDescent="0.3">
      <c r="A701" s="34" t="s">
        <v>495</v>
      </c>
      <c r="B701" s="33" t="s">
        <v>494</v>
      </c>
      <c r="C701" s="34">
        <v>2025</v>
      </c>
      <c r="D701" s="33" t="s">
        <v>493</v>
      </c>
      <c r="E701" s="34" t="s">
        <v>483</v>
      </c>
      <c r="F701" s="34" t="s">
        <v>482</v>
      </c>
      <c r="G701" s="34" t="s">
        <v>481</v>
      </c>
      <c r="H701" s="33" t="s">
        <v>492</v>
      </c>
      <c r="I701" s="33" t="s">
        <v>491</v>
      </c>
      <c r="J701" s="32" t="s">
        <v>479</v>
      </c>
    </row>
    <row r="702" spans="1:10" ht="15.75" customHeight="1" x14ac:dyDescent="0.3">
      <c r="A702" s="36" t="s">
        <v>490</v>
      </c>
      <c r="B702" s="35" t="s">
        <v>489</v>
      </c>
      <c r="C702" s="36">
        <v>2024</v>
      </c>
      <c r="D702" s="35" t="s">
        <v>488</v>
      </c>
      <c r="E702" s="36" t="s">
        <v>483</v>
      </c>
      <c r="F702" s="36" t="s">
        <v>482</v>
      </c>
      <c r="G702" s="36" t="s">
        <v>481</v>
      </c>
      <c r="H702" s="35" t="s">
        <v>487</v>
      </c>
      <c r="I702" s="35" t="s">
        <v>486</v>
      </c>
      <c r="J702" s="32" t="s">
        <v>479</v>
      </c>
    </row>
    <row r="703" spans="1:10" ht="15.75" customHeight="1" x14ac:dyDescent="0.3">
      <c r="A703" s="34" t="s">
        <v>294</v>
      </c>
      <c r="B703" s="33" t="s">
        <v>485</v>
      </c>
      <c r="C703" s="34">
        <v>2018</v>
      </c>
      <c r="D703" s="33" t="s">
        <v>484</v>
      </c>
      <c r="E703" s="34" t="s">
        <v>483</v>
      </c>
      <c r="F703" s="34" t="s">
        <v>482</v>
      </c>
      <c r="G703" s="34" t="s">
        <v>481</v>
      </c>
      <c r="H703" s="33"/>
      <c r="I703" s="33" t="s">
        <v>480</v>
      </c>
      <c r="J703" s="32" t="s">
        <v>479</v>
      </c>
    </row>
    <row r="704" spans="1:10" ht="15.75" customHeight="1" x14ac:dyDescent="0.3"/>
    <row r="705" s="31" customFormat="1" ht="15.75" customHeight="1" x14ac:dyDescent="0.3"/>
    <row r="706" s="31" customFormat="1" ht="15.75" customHeight="1" x14ac:dyDescent="0.3"/>
    <row r="707" s="31" customFormat="1" ht="15.75" customHeight="1" x14ac:dyDescent="0.3"/>
    <row r="708" s="31" customFormat="1" ht="15.75" customHeight="1" x14ac:dyDescent="0.3"/>
    <row r="709" s="31" customFormat="1" ht="15.75" customHeight="1" x14ac:dyDescent="0.3"/>
    <row r="710" s="31" customFormat="1" ht="15.75" customHeight="1" x14ac:dyDescent="0.3"/>
    <row r="711" s="31" customFormat="1" ht="15.75" customHeight="1" x14ac:dyDescent="0.3"/>
    <row r="712" s="31" customFormat="1" ht="15.75" customHeight="1" x14ac:dyDescent="0.3"/>
    <row r="713" s="31" customFormat="1" ht="15.75" customHeight="1" x14ac:dyDescent="0.3"/>
    <row r="714" s="31" customFormat="1" ht="15.75" customHeight="1" x14ac:dyDescent="0.3"/>
    <row r="715" s="31" customFormat="1" ht="15.75" customHeight="1" x14ac:dyDescent="0.3"/>
    <row r="716" s="31" customFormat="1" ht="15.75" customHeight="1" x14ac:dyDescent="0.3"/>
    <row r="717" s="31" customFormat="1" ht="15.75" customHeight="1" x14ac:dyDescent="0.3"/>
    <row r="718" s="31" customFormat="1" ht="15.75" customHeight="1" x14ac:dyDescent="0.3"/>
    <row r="719" s="31" customFormat="1" ht="15.75" customHeight="1" x14ac:dyDescent="0.3"/>
    <row r="720" s="31" customFormat="1" ht="15.75" customHeight="1" x14ac:dyDescent="0.3"/>
    <row r="721" s="31" customFormat="1" ht="15.75" customHeight="1" x14ac:dyDescent="0.3"/>
    <row r="722" s="31" customFormat="1" ht="15.75" customHeight="1" x14ac:dyDescent="0.3"/>
    <row r="723" s="31" customFormat="1" ht="15.75" customHeight="1" x14ac:dyDescent="0.3"/>
    <row r="724" s="31" customFormat="1" ht="15.75" customHeight="1" x14ac:dyDescent="0.3"/>
    <row r="725" s="31" customFormat="1" ht="15.75" customHeight="1" x14ac:dyDescent="0.3"/>
    <row r="726" s="31" customFormat="1" ht="15.75" customHeight="1" x14ac:dyDescent="0.3"/>
    <row r="727" s="31" customFormat="1" ht="15.75" customHeight="1" x14ac:dyDescent="0.3"/>
    <row r="728" s="31" customFormat="1" ht="15.75" customHeight="1" x14ac:dyDescent="0.3"/>
    <row r="729" s="31" customFormat="1" ht="15.75" customHeight="1" x14ac:dyDescent="0.3"/>
    <row r="730" s="31" customFormat="1" ht="15.75" customHeight="1" x14ac:dyDescent="0.3"/>
    <row r="731" s="31" customFormat="1" ht="15.75" customHeight="1" x14ac:dyDescent="0.3"/>
    <row r="732" s="31" customFormat="1" ht="15.75" customHeight="1" x14ac:dyDescent="0.3"/>
    <row r="733" s="31" customFormat="1" ht="15.75" customHeight="1" x14ac:dyDescent="0.3"/>
    <row r="734" s="31" customFormat="1" ht="15.75" customHeight="1" x14ac:dyDescent="0.3"/>
    <row r="735" s="31" customFormat="1" ht="15.75" customHeight="1" x14ac:dyDescent="0.3"/>
    <row r="736" s="31" customFormat="1" ht="15.75" customHeight="1" x14ac:dyDescent="0.3"/>
    <row r="737" s="31" customFormat="1" ht="15.75" customHeight="1" x14ac:dyDescent="0.3"/>
    <row r="738" s="31" customFormat="1" ht="15.75" customHeight="1" x14ac:dyDescent="0.3"/>
    <row r="739" s="31" customFormat="1" ht="15.75" customHeight="1" x14ac:dyDescent="0.3"/>
    <row r="740" s="31" customFormat="1" ht="15.75" customHeight="1" x14ac:dyDescent="0.3"/>
    <row r="741" s="31" customFormat="1" ht="15.75" customHeight="1" x14ac:dyDescent="0.3"/>
    <row r="742" s="31" customFormat="1" ht="15.75" customHeight="1" x14ac:dyDescent="0.3"/>
    <row r="743" s="31" customFormat="1" ht="15.75" customHeight="1" x14ac:dyDescent="0.3"/>
    <row r="744" s="31" customFormat="1" ht="15.75" customHeight="1" x14ac:dyDescent="0.3"/>
    <row r="745" s="31" customFormat="1" ht="15.75" customHeight="1" x14ac:dyDescent="0.3"/>
    <row r="746" s="31" customFormat="1" ht="15.75" customHeight="1" x14ac:dyDescent="0.3"/>
    <row r="747" s="31" customFormat="1" ht="15.75" customHeight="1" x14ac:dyDescent="0.3"/>
    <row r="748" s="31" customFormat="1" ht="15.75" customHeight="1" x14ac:dyDescent="0.3"/>
    <row r="749" s="31" customFormat="1" ht="15.75" customHeight="1" x14ac:dyDescent="0.3"/>
    <row r="750" s="31" customFormat="1" ht="15.75" customHeight="1" x14ac:dyDescent="0.3"/>
    <row r="751" s="31" customFormat="1" ht="15.75" customHeight="1" x14ac:dyDescent="0.3"/>
    <row r="752" s="31" customFormat="1" ht="15.75" customHeight="1" x14ac:dyDescent="0.3"/>
    <row r="753" s="31" customFormat="1" ht="15.75" customHeight="1" x14ac:dyDescent="0.3"/>
    <row r="754" s="31" customFormat="1" ht="15.75" customHeight="1" x14ac:dyDescent="0.3"/>
    <row r="755" s="31" customFormat="1" ht="15.75" customHeight="1" x14ac:dyDescent="0.3"/>
    <row r="756" s="31" customFormat="1" ht="15.75" customHeight="1" x14ac:dyDescent="0.3"/>
    <row r="757" s="31" customFormat="1" ht="15.75" customHeight="1" x14ac:dyDescent="0.3"/>
    <row r="758" s="31" customFormat="1" ht="15.75" customHeight="1" x14ac:dyDescent="0.3"/>
    <row r="759" s="31" customFormat="1" ht="15.75" customHeight="1" x14ac:dyDescent="0.3"/>
    <row r="760" s="31" customFormat="1" ht="15.75" customHeight="1" x14ac:dyDescent="0.3"/>
    <row r="761" s="31" customFormat="1" ht="15.75" customHeight="1" x14ac:dyDescent="0.3"/>
    <row r="762" s="31" customFormat="1" ht="15.75" customHeight="1" x14ac:dyDescent="0.3"/>
    <row r="763" s="31" customFormat="1" ht="15.75" customHeight="1" x14ac:dyDescent="0.3"/>
    <row r="764" s="31" customFormat="1" ht="15.75" customHeight="1" x14ac:dyDescent="0.3"/>
    <row r="765" s="31" customFormat="1" ht="15.75" customHeight="1" x14ac:dyDescent="0.3"/>
    <row r="766" s="31" customFormat="1" ht="15.75" customHeight="1" x14ac:dyDescent="0.3"/>
    <row r="767" s="31" customFormat="1" ht="15.75" customHeight="1" x14ac:dyDescent="0.3"/>
    <row r="768" s="31" customFormat="1" ht="15.75" customHeight="1" x14ac:dyDescent="0.3"/>
    <row r="769" s="31" customFormat="1" ht="15.75" customHeight="1" x14ac:dyDescent="0.3"/>
    <row r="770" s="31" customFormat="1" ht="15.75" customHeight="1" x14ac:dyDescent="0.3"/>
    <row r="771" s="31" customFormat="1" ht="15.75" customHeight="1" x14ac:dyDescent="0.3"/>
    <row r="772" s="31" customFormat="1" ht="15.75" customHeight="1" x14ac:dyDescent="0.3"/>
    <row r="773" s="31" customFormat="1" ht="15.75" customHeight="1" x14ac:dyDescent="0.3"/>
    <row r="774" s="31" customFormat="1" ht="15.75" customHeight="1" x14ac:dyDescent="0.3"/>
    <row r="775" s="31" customFormat="1" ht="15.75" customHeight="1" x14ac:dyDescent="0.3"/>
    <row r="776" s="31" customFormat="1" ht="15.75" customHeight="1" x14ac:dyDescent="0.3"/>
    <row r="777" s="31" customFormat="1" ht="15.75" customHeight="1" x14ac:dyDescent="0.3"/>
    <row r="778" s="31" customFormat="1" ht="15.75" customHeight="1" x14ac:dyDescent="0.3"/>
    <row r="779" s="31" customFormat="1" ht="15.75" customHeight="1" x14ac:dyDescent="0.3"/>
    <row r="780" s="31" customFormat="1" ht="15.75" customHeight="1" x14ac:dyDescent="0.3"/>
    <row r="781" s="31" customFormat="1" ht="15.75" customHeight="1" x14ac:dyDescent="0.3"/>
    <row r="782" s="31" customFormat="1" ht="15.75" customHeight="1" x14ac:dyDescent="0.3"/>
    <row r="783" s="31" customFormat="1" ht="15.75" customHeight="1" x14ac:dyDescent="0.3"/>
    <row r="784" s="31" customFormat="1" ht="15.75" customHeight="1" x14ac:dyDescent="0.3"/>
    <row r="785" s="31" customFormat="1" ht="15.75" customHeight="1" x14ac:dyDescent="0.3"/>
    <row r="786" s="31" customFormat="1" ht="15.75" customHeight="1" x14ac:dyDescent="0.3"/>
    <row r="787" s="31" customFormat="1" ht="15.75" customHeight="1" x14ac:dyDescent="0.3"/>
    <row r="788" s="31" customFormat="1" ht="15.75" customHeight="1" x14ac:dyDescent="0.3"/>
    <row r="789" s="31" customFormat="1" ht="15.75" customHeight="1" x14ac:dyDescent="0.3"/>
    <row r="790" s="31" customFormat="1" ht="15.75" customHeight="1" x14ac:dyDescent="0.3"/>
    <row r="791" s="31" customFormat="1" ht="15.75" customHeight="1" x14ac:dyDescent="0.3"/>
    <row r="792" s="31" customFormat="1" ht="15.75" customHeight="1" x14ac:dyDescent="0.3"/>
    <row r="793" s="31" customFormat="1" ht="15.75" customHeight="1" x14ac:dyDescent="0.3"/>
    <row r="794" s="31" customFormat="1" ht="15.75" customHeight="1" x14ac:dyDescent="0.3"/>
    <row r="795" s="31" customFormat="1" ht="15.75" customHeight="1" x14ac:dyDescent="0.3"/>
    <row r="796" s="31" customFormat="1" ht="15.75" customHeight="1" x14ac:dyDescent="0.3"/>
    <row r="797" s="31" customFormat="1" ht="15.75" customHeight="1" x14ac:dyDescent="0.3"/>
    <row r="798" s="31" customFormat="1" ht="15.75" customHeight="1" x14ac:dyDescent="0.3"/>
    <row r="799" s="31" customFormat="1" ht="15.75" customHeight="1" x14ac:dyDescent="0.3"/>
    <row r="800" s="31" customFormat="1" ht="15.75" customHeight="1" x14ac:dyDescent="0.3"/>
    <row r="801" s="31" customFormat="1" ht="15.75" customHeight="1" x14ac:dyDescent="0.3"/>
    <row r="802" s="31" customFormat="1" ht="15.75" customHeight="1" x14ac:dyDescent="0.3"/>
    <row r="803" s="31" customFormat="1" ht="15.75" customHeight="1" x14ac:dyDescent="0.3"/>
    <row r="804" s="31" customFormat="1" ht="15.75" customHeight="1" x14ac:dyDescent="0.3"/>
    <row r="805" s="31" customFormat="1" ht="15.75" customHeight="1" x14ac:dyDescent="0.3"/>
    <row r="806" s="31" customFormat="1" ht="15.75" customHeight="1" x14ac:dyDescent="0.3"/>
    <row r="807" s="31" customFormat="1" ht="15.75" customHeight="1" x14ac:dyDescent="0.3"/>
    <row r="808" s="31" customFormat="1" ht="15.75" customHeight="1" x14ac:dyDescent="0.3"/>
    <row r="809" s="31" customFormat="1" ht="15.75" customHeight="1" x14ac:dyDescent="0.3"/>
    <row r="810" s="31" customFormat="1" ht="15.75" customHeight="1" x14ac:dyDescent="0.3"/>
    <row r="811" s="31" customFormat="1" ht="15.75" customHeight="1" x14ac:dyDescent="0.3"/>
    <row r="812" s="31" customFormat="1" ht="15.75" customHeight="1" x14ac:dyDescent="0.3"/>
    <row r="813" s="31" customFormat="1" ht="15.75" customHeight="1" x14ac:dyDescent="0.3"/>
    <row r="814" s="31" customFormat="1" ht="15.75" customHeight="1" x14ac:dyDescent="0.3"/>
    <row r="815" s="31" customFormat="1" ht="15.75" customHeight="1" x14ac:dyDescent="0.3"/>
    <row r="816" s="31" customFormat="1" ht="15.75" customHeight="1" x14ac:dyDescent="0.3"/>
    <row r="817" s="31" customFormat="1" ht="15.75" customHeight="1" x14ac:dyDescent="0.3"/>
    <row r="818" s="31" customFormat="1" ht="15.75" customHeight="1" x14ac:dyDescent="0.3"/>
    <row r="819" s="31" customFormat="1" ht="15.75" customHeight="1" x14ac:dyDescent="0.3"/>
    <row r="820" s="31" customFormat="1" ht="15.75" customHeight="1" x14ac:dyDescent="0.3"/>
    <row r="821" s="31" customFormat="1" ht="15.75" customHeight="1" x14ac:dyDescent="0.3"/>
    <row r="822" s="31" customFormat="1" ht="15.75" customHeight="1" x14ac:dyDescent="0.3"/>
    <row r="823" s="31" customFormat="1" ht="15.75" customHeight="1" x14ac:dyDescent="0.3"/>
    <row r="824" s="31" customFormat="1" ht="15.75" customHeight="1" x14ac:dyDescent="0.3"/>
    <row r="825" s="31" customFormat="1" ht="15.75" customHeight="1" x14ac:dyDescent="0.3"/>
    <row r="826" s="31" customFormat="1" ht="15.75" customHeight="1" x14ac:dyDescent="0.3"/>
    <row r="827" s="31" customFormat="1" ht="15.75" customHeight="1" x14ac:dyDescent="0.3"/>
    <row r="828" s="31" customFormat="1" ht="15.75" customHeight="1" x14ac:dyDescent="0.3"/>
    <row r="829" s="31" customFormat="1" ht="15.75" customHeight="1" x14ac:dyDescent="0.3"/>
    <row r="830" s="31" customFormat="1" ht="15.75" customHeight="1" x14ac:dyDescent="0.3"/>
    <row r="831" s="31" customFormat="1" ht="15.75" customHeight="1" x14ac:dyDescent="0.3"/>
    <row r="832" s="31" customFormat="1" ht="15.75" customHeight="1" x14ac:dyDescent="0.3"/>
    <row r="833" s="31" customFormat="1" ht="15.75" customHeight="1" x14ac:dyDescent="0.3"/>
    <row r="834" s="31" customFormat="1" ht="15.75" customHeight="1" x14ac:dyDescent="0.3"/>
    <row r="835" s="31" customFormat="1" ht="15.75" customHeight="1" x14ac:dyDescent="0.3"/>
    <row r="836" s="31" customFormat="1" ht="15.75" customHeight="1" x14ac:dyDescent="0.3"/>
    <row r="837" s="31" customFormat="1" ht="15.75" customHeight="1" x14ac:dyDescent="0.3"/>
    <row r="838" s="31" customFormat="1" ht="15.75" customHeight="1" x14ac:dyDescent="0.3"/>
    <row r="839" s="31" customFormat="1" ht="15.75" customHeight="1" x14ac:dyDescent="0.3"/>
    <row r="840" s="31" customFormat="1" ht="15.75" customHeight="1" x14ac:dyDescent="0.3"/>
    <row r="841" s="31" customFormat="1" ht="15.75" customHeight="1" x14ac:dyDescent="0.3"/>
    <row r="842" s="31" customFormat="1" ht="15.75" customHeight="1" x14ac:dyDescent="0.3"/>
    <row r="843" s="31" customFormat="1" ht="15.75" customHeight="1" x14ac:dyDescent="0.3"/>
    <row r="844" s="31" customFormat="1" ht="15.75" customHeight="1" x14ac:dyDescent="0.3"/>
    <row r="845" s="31" customFormat="1" ht="15.75" customHeight="1" x14ac:dyDescent="0.3"/>
    <row r="846" s="31" customFormat="1" ht="15.75" customHeight="1" x14ac:dyDescent="0.3"/>
    <row r="847" s="31" customFormat="1" ht="15.75" customHeight="1" x14ac:dyDescent="0.3"/>
    <row r="848" s="31" customFormat="1" ht="15.75" customHeight="1" x14ac:dyDescent="0.3"/>
    <row r="849" s="31" customFormat="1" ht="15.75" customHeight="1" x14ac:dyDescent="0.3"/>
    <row r="850" s="31" customFormat="1" ht="15.75" customHeight="1" x14ac:dyDescent="0.3"/>
    <row r="851" s="31" customFormat="1" ht="15.75" customHeight="1" x14ac:dyDescent="0.3"/>
    <row r="852" s="31" customFormat="1" ht="15.75" customHeight="1" x14ac:dyDescent="0.3"/>
    <row r="853" s="31" customFormat="1" ht="15.75" customHeight="1" x14ac:dyDescent="0.3"/>
    <row r="854" s="31" customFormat="1" ht="15.75" customHeight="1" x14ac:dyDescent="0.3"/>
    <row r="855" s="31" customFormat="1" ht="15.75" customHeight="1" x14ac:dyDescent="0.3"/>
    <row r="856" s="31" customFormat="1" ht="15.75" customHeight="1" x14ac:dyDescent="0.3"/>
    <row r="857" s="31" customFormat="1" ht="15.75" customHeight="1" x14ac:dyDescent="0.3"/>
    <row r="858" s="31" customFormat="1" ht="15.75" customHeight="1" x14ac:dyDescent="0.3"/>
    <row r="859" s="31" customFormat="1" ht="15.75" customHeight="1" x14ac:dyDescent="0.3"/>
    <row r="860" s="31" customFormat="1" ht="15.75" customHeight="1" x14ac:dyDescent="0.3"/>
    <row r="861" s="31" customFormat="1" ht="15.75" customHeight="1" x14ac:dyDescent="0.3"/>
    <row r="862" s="31" customFormat="1" ht="15.75" customHeight="1" x14ac:dyDescent="0.3"/>
    <row r="863" s="31" customFormat="1" ht="15.75" customHeight="1" x14ac:dyDescent="0.3"/>
    <row r="864" s="31" customFormat="1" ht="15.75" customHeight="1" x14ac:dyDescent="0.3"/>
    <row r="865" s="31" customFormat="1" ht="15.75" customHeight="1" x14ac:dyDescent="0.3"/>
    <row r="866" s="31" customFormat="1" ht="15.75" customHeight="1" x14ac:dyDescent="0.3"/>
    <row r="867" s="31" customFormat="1" ht="15.75" customHeight="1" x14ac:dyDescent="0.3"/>
    <row r="868" s="31" customFormat="1" ht="15.75" customHeight="1" x14ac:dyDescent="0.3"/>
    <row r="869" s="31" customFormat="1" ht="15.75" customHeight="1" x14ac:dyDescent="0.3"/>
    <row r="870" s="31" customFormat="1" ht="15.75" customHeight="1" x14ac:dyDescent="0.3"/>
    <row r="871" s="31" customFormat="1" ht="15.75" customHeight="1" x14ac:dyDescent="0.3"/>
    <row r="872" s="31" customFormat="1" ht="15.75" customHeight="1" x14ac:dyDescent="0.3"/>
    <row r="873" s="31" customFormat="1" ht="15.75" customHeight="1" x14ac:dyDescent="0.3"/>
    <row r="874" s="31" customFormat="1" ht="15.75" customHeight="1" x14ac:dyDescent="0.3"/>
    <row r="875" s="31" customFormat="1" ht="15.75" customHeight="1" x14ac:dyDescent="0.3"/>
    <row r="876" s="31" customFormat="1" ht="15.75" customHeight="1" x14ac:dyDescent="0.3"/>
    <row r="877" s="31" customFormat="1" ht="15.75" customHeight="1" x14ac:dyDescent="0.3"/>
    <row r="878" s="31" customFormat="1" ht="15.75" customHeight="1" x14ac:dyDescent="0.3"/>
    <row r="879" s="31" customFormat="1" ht="15.75" customHeight="1" x14ac:dyDescent="0.3"/>
    <row r="880" s="31" customFormat="1" ht="15.75" customHeight="1" x14ac:dyDescent="0.3"/>
    <row r="881" s="31" customFormat="1" ht="15.75" customHeight="1" x14ac:dyDescent="0.3"/>
    <row r="882" s="31" customFormat="1" ht="15.75" customHeight="1" x14ac:dyDescent="0.3"/>
    <row r="883" s="31" customFormat="1" ht="15.75" customHeight="1" x14ac:dyDescent="0.3"/>
    <row r="884" s="31" customFormat="1" ht="15.75" customHeight="1" x14ac:dyDescent="0.3"/>
    <row r="885" s="31" customFormat="1" ht="15.75" customHeight="1" x14ac:dyDescent="0.3"/>
    <row r="886" s="31" customFormat="1" ht="15.75" customHeight="1" x14ac:dyDescent="0.3"/>
    <row r="887" s="31" customFormat="1" ht="15.75" customHeight="1" x14ac:dyDescent="0.3"/>
    <row r="888" s="31" customFormat="1" ht="15.75" customHeight="1" x14ac:dyDescent="0.3"/>
    <row r="889" s="31" customFormat="1" ht="15.75" customHeight="1" x14ac:dyDescent="0.3"/>
    <row r="890" s="31" customFormat="1" ht="15.75" customHeight="1" x14ac:dyDescent="0.3"/>
    <row r="891" s="31" customFormat="1" ht="15.75" customHeight="1" x14ac:dyDescent="0.3"/>
    <row r="892" s="31" customFormat="1" ht="15.75" customHeight="1" x14ac:dyDescent="0.3"/>
    <row r="893" s="31" customFormat="1" ht="15.75" customHeight="1" x14ac:dyDescent="0.3"/>
    <row r="894" s="31" customFormat="1" ht="15.75" customHeight="1" x14ac:dyDescent="0.3"/>
    <row r="895" s="31" customFormat="1" ht="15.75" customHeight="1" x14ac:dyDescent="0.3"/>
    <row r="896" s="31" customFormat="1" ht="15.75" customHeight="1" x14ac:dyDescent="0.3"/>
    <row r="897" s="31" customFormat="1" ht="15.75" customHeight="1" x14ac:dyDescent="0.3"/>
    <row r="898" s="31" customFormat="1" ht="15.75" customHeight="1" x14ac:dyDescent="0.3"/>
    <row r="899" s="31" customFormat="1" ht="15.75" customHeight="1" x14ac:dyDescent="0.3"/>
    <row r="900" s="31" customFormat="1" ht="15.75" customHeight="1" x14ac:dyDescent="0.3"/>
    <row r="901" s="31" customFormat="1" ht="15.75" customHeight="1" x14ac:dyDescent="0.3"/>
    <row r="902" s="31" customFormat="1" ht="15.75" customHeight="1" x14ac:dyDescent="0.3"/>
    <row r="903" s="31" customFormat="1" ht="15.75" customHeight="1" x14ac:dyDescent="0.3"/>
    <row r="904" s="31" customFormat="1" ht="15.75" customHeight="1" x14ac:dyDescent="0.3"/>
    <row r="905" s="31" customFormat="1" ht="15.75" customHeight="1" x14ac:dyDescent="0.3"/>
    <row r="906" s="31" customFormat="1" ht="15.75" customHeight="1" x14ac:dyDescent="0.3"/>
    <row r="907" s="31" customFormat="1" ht="15.75" customHeight="1" x14ac:dyDescent="0.3"/>
    <row r="908" s="31" customFormat="1" ht="15.75" customHeight="1" x14ac:dyDescent="0.3"/>
    <row r="909" s="31" customFormat="1" ht="15.75" customHeight="1" x14ac:dyDescent="0.3"/>
    <row r="910" s="31" customFormat="1" ht="15.75" customHeight="1" x14ac:dyDescent="0.3"/>
    <row r="911" s="31" customFormat="1" ht="15.75" customHeight="1" x14ac:dyDescent="0.3"/>
    <row r="912" s="31" customFormat="1" ht="15.75" customHeight="1" x14ac:dyDescent="0.3"/>
    <row r="913" s="31" customFormat="1" ht="15.75" customHeight="1" x14ac:dyDescent="0.3"/>
    <row r="914" s="31" customFormat="1" ht="15.75" customHeight="1" x14ac:dyDescent="0.3"/>
    <row r="915" s="31" customFormat="1" ht="15.75" customHeight="1" x14ac:dyDescent="0.3"/>
    <row r="916" s="31" customFormat="1" ht="15.75" customHeight="1" x14ac:dyDescent="0.3"/>
    <row r="917" s="31" customFormat="1" ht="15.75" customHeight="1" x14ac:dyDescent="0.3"/>
    <row r="918" s="31" customFormat="1" ht="15.75" customHeight="1" x14ac:dyDescent="0.3"/>
    <row r="919" s="31" customFormat="1" ht="15.75" customHeight="1" x14ac:dyDescent="0.3"/>
    <row r="920" s="31" customFormat="1" ht="15.75" customHeight="1" x14ac:dyDescent="0.3"/>
    <row r="921" s="31" customFormat="1" ht="15.75" customHeight="1" x14ac:dyDescent="0.3"/>
    <row r="922" s="31" customFormat="1" ht="15.75" customHeight="1" x14ac:dyDescent="0.3"/>
    <row r="923" s="31" customFormat="1" ht="15.75" customHeight="1" x14ac:dyDescent="0.3"/>
    <row r="924" s="31" customFormat="1" ht="15.75" customHeight="1" x14ac:dyDescent="0.3"/>
    <row r="925" s="31" customFormat="1" ht="15.75" customHeight="1" x14ac:dyDescent="0.3"/>
    <row r="926" s="31" customFormat="1" ht="15.75" customHeight="1" x14ac:dyDescent="0.3"/>
    <row r="927" s="31" customFormat="1" ht="15.75" customHeight="1" x14ac:dyDescent="0.3"/>
    <row r="928" s="31" customFormat="1" ht="15.75" customHeight="1" x14ac:dyDescent="0.3"/>
    <row r="929" s="31" customFormat="1" ht="15.75" customHeight="1" x14ac:dyDescent="0.3"/>
    <row r="930" s="31" customFormat="1" ht="15.75" customHeight="1" x14ac:dyDescent="0.3"/>
    <row r="931" s="31" customFormat="1" ht="15.75" customHeight="1" x14ac:dyDescent="0.3"/>
    <row r="932" s="31" customFormat="1" ht="15.75" customHeight="1" x14ac:dyDescent="0.3"/>
    <row r="933" s="31" customFormat="1" ht="15.75" customHeight="1" x14ac:dyDescent="0.3"/>
    <row r="934" s="31" customFormat="1" ht="15.75" customHeight="1" x14ac:dyDescent="0.3"/>
    <row r="935" s="31" customFormat="1" ht="15.75" customHeight="1" x14ac:dyDescent="0.3"/>
    <row r="936" s="31" customFormat="1" ht="15.75" customHeight="1" x14ac:dyDescent="0.3"/>
    <row r="937" s="31" customFormat="1" ht="15.75" customHeight="1" x14ac:dyDescent="0.3"/>
    <row r="938" s="31" customFormat="1" ht="15.75" customHeight="1" x14ac:dyDescent="0.3"/>
    <row r="939" s="31" customFormat="1" ht="15.75" customHeight="1" x14ac:dyDescent="0.3"/>
    <row r="940" s="31" customFormat="1" ht="15.75" customHeight="1" x14ac:dyDescent="0.3"/>
    <row r="941" s="31" customFormat="1" ht="15.75" customHeight="1" x14ac:dyDescent="0.3"/>
    <row r="942" s="31" customFormat="1" ht="15.75" customHeight="1" x14ac:dyDescent="0.3"/>
    <row r="943" s="31" customFormat="1" ht="15.75" customHeight="1" x14ac:dyDescent="0.3"/>
    <row r="944" s="31" customFormat="1" ht="15.75" customHeight="1" x14ac:dyDescent="0.3"/>
    <row r="945" s="31" customFormat="1" ht="15.75" customHeight="1" x14ac:dyDescent="0.3"/>
    <row r="946" s="31" customFormat="1" ht="15.75" customHeight="1" x14ac:dyDescent="0.3"/>
    <row r="947" s="31" customFormat="1" ht="15.75" customHeight="1" x14ac:dyDescent="0.3"/>
    <row r="948" s="31" customFormat="1" ht="15.75" customHeight="1" x14ac:dyDescent="0.3"/>
    <row r="949" s="31" customFormat="1" ht="15.75" customHeight="1" x14ac:dyDescent="0.3"/>
    <row r="950" s="31" customFormat="1" ht="15.75" customHeight="1" x14ac:dyDescent="0.3"/>
    <row r="951" s="31" customFormat="1" ht="15.75" customHeight="1" x14ac:dyDescent="0.3"/>
    <row r="952" s="31" customFormat="1" ht="15.75" customHeight="1" x14ac:dyDescent="0.3"/>
    <row r="953" s="31" customFormat="1" ht="15.75" customHeight="1" x14ac:dyDescent="0.3"/>
    <row r="954" s="31" customFormat="1" ht="15.75" customHeight="1" x14ac:dyDescent="0.3"/>
    <row r="955" s="31" customFormat="1" ht="15.75" customHeight="1" x14ac:dyDescent="0.3"/>
    <row r="956" s="31" customFormat="1" ht="15.75" customHeight="1" x14ac:dyDescent="0.3"/>
    <row r="957" s="31" customFormat="1" ht="15.75" customHeight="1" x14ac:dyDescent="0.3"/>
    <row r="958" s="31" customFormat="1" ht="15.75" customHeight="1" x14ac:dyDescent="0.3"/>
    <row r="959" s="31" customFormat="1" ht="15.75" customHeight="1" x14ac:dyDescent="0.3"/>
    <row r="960" s="31" customFormat="1" ht="15.75" customHeight="1" x14ac:dyDescent="0.3"/>
    <row r="961" s="31" customFormat="1" ht="15.75" customHeight="1" x14ac:dyDescent="0.3"/>
    <row r="962" s="31" customFormat="1" ht="15.75" customHeight="1" x14ac:dyDescent="0.3"/>
    <row r="963" s="31" customFormat="1" ht="15.75" customHeight="1" x14ac:dyDescent="0.3"/>
    <row r="964" s="31" customFormat="1" ht="15.75" customHeight="1" x14ac:dyDescent="0.3"/>
    <row r="965" s="31" customFormat="1" ht="15.75" customHeight="1" x14ac:dyDescent="0.3"/>
    <row r="966" s="31" customFormat="1" ht="15.75" customHeight="1" x14ac:dyDescent="0.3"/>
    <row r="967" s="31" customFormat="1" ht="15.75" customHeight="1" x14ac:dyDescent="0.3"/>
    <row r="968" s="31" customFormat="1" ht="15.75" customHeight="1" x14ac:dyDescent="0.3"/>
    <row r="969" s="31" customFormat="1" ht="15.75" customHeight="1" x14ac:dyDescent="0.3"/>
    <row r="970" s="31" customFormat="1" ht="15.75" customHeight="1" x14ac:dyDescent="0.3"/>
    <row r="971" s="31" customFormat="1" ht="15.75" customHeight="1" x14ac:dyDescent="0.3"/>
    <row r="972" s="31" customFormat="1" ht="15.75" customHeight="1" x14ac:dyDescent="0.3"/>
    <row r="973" s="31" customFormat="1" ht="15.75" customHeight="1" x14ac:dyDescent="0.3"/>
    <row r="974" s="31" customFormat="1" ht="15.75" customHeight="1" x14ac:dyDescent="0.3"/>
    <row r="975" s="31" customFormat="1" ht="15.75" customHeight="1" x14ac:dyDescent="0.3"/>
    <row r="976" s="31" customFormat="1" ht="15.75" customHeight="1" x14ac:dyDescent="0.3"/>
    <row r="977" s="31" customFormat="1" ht="15.75" customHeight="1" x14ac:dyDescent="0.3"/>
    <row r="978" s="31" customFormat="1" ht="15.75" customHeight="1" x14ac:dyDescent="0.3"/>
    <row r="979" s="31" customFormat="1" ht="15.75" customHeight="1" x14ac:dyDescent="0.3"/>
    <row r="980" s="31" customFormat="1" ht="15.75" customHeight="1" x14ac:dyDescent="0.3"/>
    <row r="981" s="31" customFormat="1" ht="15.75" customHeight="1" x14ac:dyDescent="0.3"/>
    <row r="982" s="31" customFormat="1" ht="15.75" customHeight="1" x14ac:dyDescent="0.3"/>
    <row r="983" s="31" customFormat="1" ht="15.75" customHeight="1" x14ac:dyDescent="0.3"/>
    <row r="984" s="31" customFormat="1" ht="15.75" customHeight="1" x14ac:dyDescent="0.3"/>
    <row r="985" s="31" customFormat="1" ht="15.75" customHeight="1" x14ac:dyDescent="0.3"/>
    <row r="986" s="31" customFormat="1" ht="15.75" customHeight="1" x14ac:dyDescent="0.3"/>
    <row r="987" s="31" customFormat="1" ht="15.75" customHeight="1" x14ac:dyDescent="0.3"/>
    <row r="988" s="31" customFormat="1" ht="15.75" customHeight="1" x14ac:dyDescent="0.3"/>
    <row r="989" s="31" customFormat="1" ht="15.75" customHeight="1" x14ac:dyDescent="0.3"/>
    <row r="990" s="31" customFormat="1" ht="15.75" customHeight="1" x14ac:dyDescent="0.3"/>
    <row r="991" s="31" customFormat="1" ht="15.75" customHeight="1" x14ac:dyDescent="0.3"/>
    <row r="992" s="31" customFormat="1" ht="15.75" customHeight="1" x14ac:dyDescent="0.3"/>
    <row r="993" s="31" customFormat="1" ht="15.75" customHeight="1" x14ac:dyDescent="0.3"/>
    <row r="994" s="31" customFormat="1" ht="15.75" customHeight="1" x14ac:dyDescent="0.3"/>
    <row r="995" s="31" customFormat="1" ht="15.75" customHeight="1" x14ac:dyDescent="0.3"/>
    <row r="996" s="31" customFormat="1" ht="15.75" customHeight="1" x14ac:dyDescent="0.3"/>
    <row r="997" s="31" customFormat="1" ht="15.75" customHeight="1" x14ac:dyDescent="0.3"/>
    <row r="998" s="31" customFormat="1" ht="15.75" customHeight="1" x14ac:dyDescent="0.3"/>
    <row r="999" s="31" customFormat="1" ht="15.75" customHeight="1" x14ac:dyDescent="0.3"/>
    <row r="1000" s="31" customFormat="1" ht="15.75" customHeight="1" x14ac:dyDescent="0.3"/>
  </sheetData>
  <autoFilter ref="A1:J703"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showGridLines="0" tabSelected="1" workbookViewId="0">
      <pane xSplit="1" ySplit="3" topLeftCell="S29" activePane="bottomRight" state="frozen"/>
      <selection pane="topRight" activeCell="B1" sqref="B1"/>
      <selection pane="bottomLeft" activeCell="A4" sqref="A4"/>
      <selection pane="bottomRight" activeCell="AA31" sqref="AA31"/>
    </sheetView>
  </sheetViews>
  <sheetFormatPr baseColWidth="10" defaultColWidth="14.44140625" defaultRowHeight="15" customHeight="1" x14ac:dyDescent="0.3"/>
  <cols>
    <col min="1" max="1" width="10" customWidth="1"/>
    <col min="2" max="3" width="12" customWidth="1"/>
    <col min="4" max="4" width="55" customWidth="1"/>
    <col min="5" max="5" width="16" customWidth="1"/>
    <col min="6" max="7" width="22" customWidth="1"/>
    <col min="8" max="8" width="16" customWidth="1"/>
    <col min="9" max="9" width="32" customWidth="1"/>
    <col min="10" max="11" width="16" customWidth="1"/>
    <col min="12" max="12" width="32" customWidth="1"/>
    <col min="13" max="13" width="16" customWidth="1"/>
    <col min="14" max="14" width="32" customWidth="1"/>
    <col min="15" max="15" width="16" customWidth="1"/>
    <col min="16" max="16" width="32" customWidth="1"/>
    <col min="17" max="17" width="16" customWidth="1"/>
    <col min="18" max="18" width="32" customWidth="1"/>
    <col min="19" max="25" width="16" customWidth="1"/>
    <col min="26" max="26" width="8.6640625" customWidth="1"/>
  </cols>
  <sheetData>
    <row r="1" spans="1:27" ht="27.75" customHeight="1" x14ac:dyDescent="0.3">
      <c r="A1" s="44" t="s">
        <v>0</v>
      </c>
      <c r="B1" s="45"/>
      <c r="C1" s="45"/>
      <c r="D1" s="45"/>
      <c r="E1" s="45"/>
      <c r="F1" s="45"/>
      <c r="G1" s="45"/>
      <c r="H1" s="45"/>
      <c r="I1" s="45"/>
      <c r="J1" s="45"/>
      <c r="K1" s="45"/>
      <c r="L1" s="45"/>
      <c r="M1" s="45"/>
      <c r="N1" s="45"/>
      <c r="O1" s="45"/>
      <c r="P1" s="45"/>
      <c r="Q1" s="45"/>
      <c r="R1" s="45"/>
      <c r="S1" s="45"/>
      <c r="T1" s="45"/>
      <c r="U1" s="45"/>
      <c r="V1" s="45"/>
      <c r="W1" s="45"/>
      <c r="X1" s="45"/>
      <c r="Y1" s="46"/>
    </row>
    <row r="2" spans="1:27" ht="36" customHeight="1" x14ac:dyDescent="0.3">
      <c r="A2" s="1" t="s">
        <v>1</v>
      </c>
      <c r="B2" s="2" t="s">
        <v>2</v>
      </c>
      <c r="C2" s="3" t="s">
        <v>3</v>
      </c>
      <c r="D2" s="3" t="s">
        <v>4</v>
      </c>
      <c r="E2" s="47" t="s">
        <v>5</v>
      </c>
      <c r="F2" s="48"/>
      <c r="G2" s="48"/>
      <c r="H2" s="48"/>
      <c r="I2" s="49"/>
      <c r="J2" s="50" t="s">
        <v>6</v>
      </c>
      <c r="K2" s="48"/>
      <c r="L2" s="48"/>
      <c r="M2" s="48"/>
      <c r="N2" s="48"/>
      <c r="O2" s="49"/>
      <c r="P2" s="51" t="s">
        <v>7</v>
      </c>
      <c r="Q2" s="48"/>
      <c r="R2" s="48"/>
      <c r="S2" s="48"/>
      <c r="T2" s="48"/>
      <c r="U2" s="49"/>
      <c r="V2" s="52" t="s">
        <v>8</v>
      </c>
      <c r="W2" s="48"/>
      <c r="X2" s="48"/>
      <c r="Y2" s="49"/>
    </row>
    <row r="3" spans="1:27" ht="39.75" customHeight="1" x14ac:dyDescent="0.3">
      <c r="A3" s="1" t="s">
        <v>1</v>
      </c>
      <c r="B3" s="4" t="s">
        <v>2</v>
      </c>
      <c r="C3" s="5" t="s">
        <v>3</v>
      </c>
      <c r="D3" s="5" t="s">
        <v>4</v>
      </c>
      <c r="E3" s="1" t="s">
        <v>9</v>
      </c>
      <c r="F3" s="1" t="s">
        <v>10</v>
      </c>
      <c r="G3" s="1" t="s">
        <v>11</v>
      </c>
      <c r="H3" s="1" t="s">
        <v>12</v>
      </c>
      <c r="I3" s="1" t="s">
        <v>13</v>
      </c>
      <c r="J3" s="6" t="s">
        <v>14</v>
      </c>
      <c r="K3" s="6" t="s">
        <v>15</v>
      </c>
      <c r="L3" s="6" t="s">
        <v>16</v>
      </c>
      <c r="M3" s="6" t="s">
        <v>17</v>
      </c>
      <c r="N3" s="6" t="s">
        <v>18</v>
      </c>
      <c r="O3" s="6" t="s">
        <v>19</v>
      </c>
      <c r="P3" s="7" t="s">
        <v>20</v>
      </c>
      <c r="Q3" s="7" t="s">
        <v>21</v>
      </c>
      <c r="R3" s="7" t="s">
        <v>22</v>
      </c>
      <c r="S3" s="7" t="s">
        <v>23</v>
      </c>
      <c r="T3" s="7" t="s">
        <v>24</v>
      </c>
      <c r="U3" s="7" t="s">
        <v>25</v>
      </c>
      <c r="V3" s="8" t="s">
        <v>26</v>
      </c>
      <c r="W3" s="8" t="s">
        <v>27</v>
      </c>
      <c r="X3" s="8" t="s">
        <v>28</v>
      </c>
      <c r="Y3" s="8" t="s">
        <v>29</v>
      </c>
      <c r="Z3" s="39" t="s">
        <v>3195</v>
      </c>
      <c r="AA3" s="39" t="s">
        <v>3197</v>
      </c>
    </row>
    <row r="4" spans="1:27" ht="14.4" x14ac:dyDescent="0.3">
      <c r="A4" s="9" t="s">
        <v>30</v>
      </c>
      <c r="B4" s="10" t="s">
        <v>31</v>
      </c>
      <c r="C4" s="9"/>
      <c r="D4" s="11"/>
      <c r="E4" s="12" t="s">
        <v>32</v>
      </c>
      <c r="F4" s="11"/>
      <c r="G4" s="11" t="s">
        <v>33</v>
      </c>
      <c r="H4" s="9" t="s">
        <v>34</v>
      </c>
      <c r="I4" s="11"/>
      <c r="J4" s="9" t="s">
        <v>35</v>
      </c>
      <c r="K4" s="9" t="s">
        <v>36</v>
      </c>
      <c r="L4" s="11" t="s">
        <v>37</v>
      </c>
      <c r="M4" s="9" t="s">
        <v>38</v>
      </c>
      <c r="N4" s="11" t="s">
        <v>39</v>
      </c>
      <c r="O4" s="9" t="s">
        <v>40</v>
      </c>
      <c r="P4" s="11" t="s">
        <v>41</v>
      </c>
      <c r="Q4" s="9" t="s">
        <v>34</v>
      </c>
      <c r="R4" s="11" t="s">
        <v>33</v>
      </c>
      <c r="S4" s="9" t="s">
        <v>34</v>
      </c>
      <c r="T4" s="9" t="s">
        <v>34</v>
      </c>
      <c r="U4" s="9" t="s">
        <v>42</v>
      </c>
      <c r="V4" s="9" t="s">
        <v>43</v>
      </c>
      <c r="W4" s="9" t="s">
        <v>44</v>
      </c>
      <c r="X4" s="9" t="s">
        <v>34</v>
      </c>
      <c r="Y4" s="40" t="s">
        <v>45</v>
      </c>
      <c r="Z4" s="43">
        <f>_xlfn.XLOOKUP(A4,Data!A1:A703,Data!C1:C703)</f>
        <v>2021</v>
      </c>
      <c r="AA4" s="43" t="str">
        <f>_xlfn.XLOOKUP(A4,Data!A1:A703,Data!E1:E703)</f>
        <v>Article</v>
      </c>
    </row>
    <row r="5" spans="1:27" ht="22.8" x14ac:dyDescent="0.3">
      <c r="A5" s="13" t="s">
        <v>46</v>
      </c>
      <c r="B5" s="10" t="s">
        <v>31</v>
      </c>
      <c r="C5" s="13"/>
      <c r="D5" s="14"/>
      <c r="E5" s="15" t="s">
        <v>47</v>
      </c>
      <c r="F5" s="14" t="s">
        <v>48</v>
      </c>
      <c r="G5" s="14" t="s">
        <v>49</v>
      </c>
      <c r="H5" s="13" t="s">
        <v>42</v>
      </c>
      <c r="I5" s="14" t="s">
        <v>50</v>
      </c>
      <c r="J5" s="13" t="s">
        <v>35</v>
      </c>
      <c r="K5" s="13" t="s">
        <v>42</v>
      </c>
      <c r="L5" s="14" t="s">
        <v>51</v>
      </c>
      <c r="M5" s="13" t="s">
        <v>52</v>
      </c>
      <c r="N5" s="14" t="s">
        <v>53</v>
      </c>
      <c r="O5" s="13" t="s">
        <v>54</v>
      </c>
      <c r="P5" s="14" t="s">
        <v>55</v>
      </c>
      <c r="Q5" s="13" t="s">
        <v>56</v>
      </c>
      <c r="R5" s="14" t="s">
        <v>33</v>
      </c>
      <c r="S5" s="13" t="s">
        <v>34</v>
      </c>
      <c r="T5" s="13" t="s">
        <v>34</v>
      </c>
      <c r="U5" s="13" t="s">
        <v>34</v>
      </c>
      <c r="V5" s="13" t="s">
        <v>43</v>
      </c>
      <c r="W5" s="13" t="s">
        <v>44</v>
      </c>
      <c r="X5" s="13" t="s">
        <v>34</v>
      </c>
      <c r="Y5" s="41" t="s">
        <v>45</v>
      </c>
      <c r="Z5" s="43">
        <f>_xlfn.XLOOKUP(A5,Data!A2:A704,Data!C2:C704)</f>
        <v>2021</v>
      </c>
      <c r="AA5" s="43" t="str">
        <f>_xlfn.XLOOKUP(A5,Data!A2:A704,Data!E2:E704)</f>
        <v>Article</v>
      </c>
    </row>
    <row r="6" spans="1:27" ht="22.8" x14ac:dyDescent="0.3">
      <c r="A6" s="9" t="s">
        <v>57</v>
      </c>
      <c r="B6" s="10" t="s">
        <v>31</v>
      </c>
      <c r="C6" s="9"/>
      <c r="D6" s="11"/>
      <c r="E6" s="12" t="s">
        <v>32</v>
      </c>
      <c r="F6" s="11"/>
      <c r="G6" s="11" t="s">
        <v>33</v>
      </c>
      <c r="H6" s="9" t="s">
        <v>34</v>
      </c>
      <c r="I6" s="11"/>
      <c r="J6" s="9" t="s">
        <v>35</v>
      </c>
      <c r="K6" s="9" t="s">
        <v>36</v>
      </c>
      <c r="L6" s="11" t="s">
        <v>58</v>
      </c>
      <c r="M6" s="9" t="s">
        <v>38</v>
      </c>
      <c r="N6" s="11" t="s">
        <v>59</v>
      </c>
      <c r="O6" s="9" t="s">
        <v>60</v>
      </c>
      <c r="P6" s="11" t="s">
        <v>60</v>
      </c>
      <c r="Q6" s="9" t="s">
        <v>34</v>
      </c>
      <c r="R6" s="11" t="s">
        <v>61</v>
      </c>
      <c r="S6" s="9" t="s">
        <v>42</v>
      </c>
      <c r="T6" s="9" t="s">
        <v>34</v>
      </c>
      <c r="U6" s="9" t="s">
        <v>42</v>
      </c>
      <c r="V6" s="9" t="s">
        <v>62</v>
      </c>
      <c r="W6" s="9" t="s">
        <v>63</v>
      </c>
      <c r="X6" s="9" t="s">
        <v>34</v>
      </c>
      <c r="Y6" s="40" t="s">
        <v>64</v>
      </c>
      <c r="Z6" s="43">
        <f>_xlfn.XLOOKUP(A6,Data!A3:A705,Data!C3:C705)</f>
        <v>2021</v>
      </c>
      <c r="AA6" s="43" t="str">
        <f>_xlfn.XLOOKUP(A6,Data!A3:A705,Data!E3:E705)</f>
        <v>Article</v>
      </c>
    </row>
    <row r="7" spans="1:27" ht="14.4" x14ac:dyDescent="0.3">
      <c r="A7" s="13" t="s">
        <v>65</v>
      </c>
      <c r="B7" s="10" t="s">
        <v>31</v>
      </c>
      <c r="C7" s="13"/>
      <c r="D7" s="14"/>
      <c r="E7" s="12" t="s">
        <v>32</v>
      </c>
      <c r="F7" s="14"/>
      <c r="G7" s="14" t="s">
        <v>33</v>
      </c>
      <c r="H7" s="13" t="s">
        <v>42</v>
      </c>
      <c r="I7" s="14" t="s">
        <v>66</v>
      </c>
      <c r="J7" s="13" t="s">
        <v>35</v>
      </c>
      <c r="K7" s="13" t="s">
        <v>42</v>
      </c>
      <c r="L7" s="14" t="s">
        <v>67</v>
      </c>
      <c r="M7" s="13" t="s">
        <v>38</v>
      </c>
      <c r="N7" s="14" t="s">
        <v>39</v>
      </c>
      <c r="O7" s="13" t="s">
        <v>60</v>
      </c>
      <c r="P7" s="14" t="s">
        <v>60</v>
      </c>
      <c r="Q7" s="13" t="s">
        <v>34</v>
      </c>
      <c r="R7" s="14" t="s">
        <v>33</v>
      </c>
      <c r="S7" s="13" t="s">
        <v>34</v>
      </c>
      <c r="T7" s="13" t="s">
        <v>34</v>
      </c>
      <c r="U7" s="13" t="s">
        <v>42</v>
      </c>
      <c r="V7" s="13" t="s">
        <v>62</v>
      </c>
      <c r="W7" s="13" t="s">
        <v>63</v>
      </c>
      <c r="X7" s="13" t="s">
        <v>34</v>
      </c>
      <c r="Y7" s="41" t="s">
        <v>68</v>
      </c>
      <c r="Z7" s="43">
        <f>_xlfn.XLOOKUP(A7,Data!A4:A706,Data!C4:C706)</f>
        <v>2022</v>
      </c>
      <c r="AA7" s="43" t="str">
        <f>_xlfn.XLOOKUP(A7,Data!A4:A706,Data!E4:E706)</f>
        <v>Article</v>
      </c>
    </row>
    <row r="8" spans="1:27" ht="14.4" x14ac:dyDescent="0.3">
      <c r="A8" s="9" t="s">
        <v>69</v>
      </c>
      <c r="B8" s="10" t="s">
        <v>31</v>
      </c>
      <c r="C8" s="9"/>
      <c r="D8" s="11"/>
      <c r="E8" s="9" t="s">
        <v>70</v>
      </c>
      <c r="F8" s="11"/>
      <c r="G8" s="11" t="s">
        <v>33</v>
      </c>
      <c r="H8" s="9" t="s">
        <v>34</v>
      </c>
      <c r="I8" s="11"/>
      <c r="J8" s="9" t="s">
        <v>35</v>
      </c>
      <c r="K8" s="9" t="s">
        <v>42</v>
      </c>
      <c r="L8" s="11" t="s">
        <v>71</v>
      </c>
      <c r="M8" s="9" t="s">
        <v>52</v>
      </c>
      <c r="N8" s="11" t="s">
        <v>72</v>
      </c>
      <c r="O8" s="9" t="s">
        <v>54</v>
      </c>
      <c r="P8" s="11" t="s">
        <v>60</v>
      </c>
      <c r="Q8" s="9" t="s">
        <v>34</v>
      </c>
      <c r="R8" s="11" t="s">
        <v>33</v>
      </c>
      <c r="S8" s="9" t="s">
        <v>34</v>
      </c>
      <c r="T8" s="9" t="s">
        <v>34</v>
      </c>
      <c r="U8" s="9" t="s">
        <v>42</v>
      </c>
      <c r="V8" s="9" t="s">
        <v>43</v>
      </c>
      <c r="W8" s="9" t="s">
        <v>44</v>
      </c>
      <c r="X8" s="9" t="s">
        <v>34</v>
      </c>
      <c r="Y8" s="40" t="s">
        <v>45</v>
      </c>
      <c r="Z8" s="43">
        <f>_xlfn.XLOOKUP(A8,Data!A5:A707,Data!C5:C707)</f>
        <v>2023</v>
      </c>
      <c r="AA8" s="43" t="str">
        <f>_xlfn.XLOOKUP(A8,Data!A5:A707,Data!E5:E707)</f>
        <v>Article</v>
      </c>
    </row>
    <row r="9" spans="1:27" ht="14.4" x14ac:dyDescent="0.3">
      <c r="A9" s="13" t="s">
        <v>73</v>
      </c>
      <c r="B9" s="10" t="s">
        <v>31</v>
      </c>
      <c r="C9" s="13"/>
      <c r="D9" s="14"/>
      <c r="E9" s="12" t="s">
        <v>32</v>
      </c>
      <c r="F9" s="14"/>
      <c r="G9" s="14" t="s">
        <v>74</v>
      </c>
      <c r="H9" s="13" t="s">
        <v>34</v>
      </c>
      <c r="I9" s="14"/>
      <c r="J9" s="13" t="s">
        <v>35</v>
      </c>
      <c r="K9" s="13" t="s">
        <v>36</v>
      </c>
      <c r="L9" s="14" t="s">
        <v>75</v>
      </c>
      <c r="M9" s="13" t="s">
        <v>52</v>
      </c>
      <c r="N9" s="14" t="s">
        <v>76</v>
      </c>
      <c r="O9" s="13" t="s">
        <v>54</v>
      </c>
      <c r="P9" s="14" t="s">
        <v>41</v>
      </c>
      <c r="Q9" s="13" t="s">
        <v>56</v>
      </c>
      <c r="R9" s="14" t="s">
        <v>33</v>
      </c>
      <c r="S9" s="13" t="s">
        <v>34</v>
      </c>
      <c r="T9" s="13" t="s">
        <v>42</v>
      </c>
      <c r="U9" s="13" t="s">
        <v>42</v>
      </c>
      <c r="V9" s="13" t="s">
        <v>62</v>
      </c>
      <c r="W9" s="13" t="s">
        <v>63</v>
      </c>
      <c r="X9" s="13" t="s">
        <v>34</v>
      </c>
      <c r="Y9" s="41" t="s">
        <v>68</v>
      </c>
      <c r="Z9" s="43">
        <f>_xlfn.XLOOKUP(A9,Data!A6:A708,Data!C6:C708)</f>
        <v>2020</v>
      </c>
      <c r="AA9" s="43" t="str">
        <f>_xlfn.XLOOKUP(A9,Data!A6:A708,Data!E6:E708)</f>
        <v>Article</v>
      </c>
    </row>
    <row r="10" spans="1:27" ht="14.4" x14ac:dyDescent="0.3">
      <c r="A10" s="9" t="s">
        <v>77</v>
      </c>
      <c r="B10" s="10" t="s">
        <v>31</v>
      </c>
      <c r="C10" s="9"/>
      <c r="D10" s="11"/>
      <c r="E10" s="12" t="s">
        <v>32</v>
      </c>
      <c r="F10" s="11"/>
      <c r="G10" s="11" t="s">
        <v>33</v>
      </c>
      <c r="H10" s="9" t="s">
        <v>42</v>
      </c>
      <c r="I10" s="11" t="s">
        <v>78</v>
      </c>
      <c r="J10" s="9" t="s">
        <v>35</v>
      </c>
      <c r="K10" s="9" t="s">
        <v>42</v>
      </c>
      <c r="L10" s="11" t="s">
        <v>79</v>
      </c>
      <c r="M10" s="9" t="s">
        <v>52</v>
      </c>
      <c r="N10" s="11" t="s">
        <v>33</v>
      </c>
      <c r="O10" s="9" t="s">
        <v>60</v>
      </c>
      <c r="P10" s="11" t="s">
        <v>55</v>
      </c>
      <c r="Q10" s="9" t="s">
        <v>56</v>
      </c>
      <c r="R10" s="11" t="s">
        <v>33</v>
      </c>
      <c r="S10" s="9" t="s">
        <v>34</v>
      </c>
      <c r="T10" s="9" t="s">
        <v>34</v>
      </c>
      <c r="U10" s="9" t="s">
        <v>34</v>
      </c>
      <c r="V10" s="9" t="s">
        <v>62</v>
      </c>
      <c r="W10" s="9" t="s">
        <v>63</v>
      </c>
      <c r="X10" s="9" t="s">
        <v>34</v>
      </c>
      <c r="Y10" s="40" t="s">
        <v>80</v>
      </c>
      <c r="Z10" s="43">
        <f>_xlfn.XLOOKUP(A10,Data!A7:A709,Data!C7:C709)</f>
        <v>2015</v>
      </c>
      <c r="AA10" s="43" t="str">
        <f>_xlfn.XLOOKUP(A10,Data!A7:A709,Data!E7:E709)</f>
        <v>Article</v>
      </c>
    </row>
    <row r="11" spans="1:27" ht="22.8" x14ac:dyDescent="0.3">
      <c r="A11" s="13" t="s">
        <v>81</v>
      </c>
      <c r="B11" s="10" t="s">
        <v>31</v>
      </c>
      <c r="C11" s="13"/>
      <c r="D11" s="14"/>
      <c r="E11" s="12" t="s">
        <v>32</v>
      </c>
      <c r="F11" s="14"/>
      <c r="G11" s="14" t="s">
        <v>82</v>
      </c>
      <c r="H11" s="13" t="s">
        <v>34</v>
      </c>
      <c r="I11" s="14"/>
      <c r="J11" s="13" t="s">
        <v>83</v>
      </c>
      <c r="K11" s="13" t="s">
        <v>42</v>
      </c>
      <c r="L11" s="14" t="s">
        <v>84</v>
      </c>
      <c r="M11" s="13" t="s">
        <v>52</v>
      </c>
      <c r="N11" s="14" t="s">
        <v>85</v>
      </c>
      <c r="O11" s="13" t="s">
        <v>54</v>
      </c>
      <c r="P11" s="14" t="s">
        <v>60</v>
      </c>
      <c r="Q11" s="13" t="s">
        <v>34</v>
      </c>
      <c r="R11" s="14" t="s">
        <v>33</v>
      </c>
      <c r="S11" s="13" t="s">
        <v>34</v>
      </c>
      <c r="T11" s="13" t="s">
        <v>34</v>
      </c>
      <c r="U11" s="13" t="s">
        <v>42</v>
      </c>
      <c r="V11" s="13" t="s">
        <v>62</v>
      </c>
      <c r="W11" s="13" t="s">
        <v>63</v>
      </c>
      <c r="X11" s="13" t="s">
        <v>34</v>
      </c>
      <c r="Y11" s="41" t="s">
        <v>86</v>
      </c>
      <c r="Z11" s="43">
        <f>_xlfn.XLOOKUP(A11,Data!A8:A710,Data!C8:C710)</f>
        <v>2016</v>
      </c>
      <c r="AA11" s="43" t="str">
        <f>_xlfn.XLOOKUP(A11,Data!A8:A710,Data!E8:E710)</f>
        <v>Article</v>
      </c>
    </row>
    <row r="12" spans="1:27" ht="14.4" x14ac:dyDescent="0.3">
      <c r="A12" s="9" t="s">
        <v>87</v>
      </c>
      <c r="B12" s="10" t="s">
        <v>31</v>
      </c>
      <c r="C12" s="9"/>
      <c r="D12" s="11"/>
      <c r="E12" s="12" t="s">
        <v>32</v>
      </c>
      <c r="F12" s="11"/>
      <c r="G12" s="11" t="s">
        <v>33</v>
      </c>
      <c r="H12" s="9" t="s">
        <v>34</v>
      </c>
      <c r="I12" s="11"/>
      <c r="J12" s="9" t="s">
        <v>35</v>
      </c>
      <c r="K12" s="9" t="s">
        <v>42</v>
      </c>
      <c r="L12" s="11" t="s">
        <v>33</v>
      </c>
      <c r="M12" s="9" t="s">
        <v>52</v>
      </c>
      <c r="N12" s="11" t="s">
        <v>33</v>
      </c>
      <c r="O12" s="9" t="s">
        <v>33</v>
      </c>
      <c r="P12" s="11" t="s">
        <v>88</v>
      </c>
      <c r="Q12" s="9" t="s">
        <v>56</v>
      </c>
      <c r="R12" s="11" t="s">
        <v>89</v>
      </c>
      <c r="S12" s="9" t="s">
        <v>34</v>
      </c>
      <c r="T12" s="9" t="s">
        <v>34</v>
      </c>
      <c r="U12" s="9" t="s">
        <v>34</v>
      </c>
      <c r="V12" s="9" t="s">
        <v>62</v>
      </c>
      <c r="W12" s="9" t="s">
        <v>63</v>
      </c>
      <c r="X12" s="9" t="s">
        <v>34</v>
      </c>
      <c r="Y12" s="40" t="s">
        <v>90</v>
      </c>
      <c r="Z12" s="43">
        <f>_xlfn.XLOOKUP(A12,Data!A9:A711,Data!C9:C711)</f>
        <v>2023</v>
      </c>
      <c r="AA12" s="43" t="str">
        <f>_xlfn.XLOOKUP(A12,Data!A9:A711,Data!E9:E711)</f>
        <v>Article</v>
      </c>
    </row>
    <row r="13" spans="1:27" ht="22.8" x14ac:dyDescent="0.3">
      <c r="A13" s="13" t="s">
        <v>91</v>
      </c>
      <c r="B13" s="10" t="s">
        <v>31</v>
      </c>
      <c r="C13" s="13"/>
      <c r="D13" s="14"/>
      <c r="E13" s="12" t="s">
        <v>32</v>
      </c>
      <c r="F13" s="14"/>
      <c r="G13" s="14" t="s">
        <v>92</v>
      </c>
      <c r="H13" s="13" t="s">
        <v>34</v>
      </c>
      <c r="I13" s="14"/>
      <c r="J13" s="13" t="s">
        <v>35</v>
      </c>
      <c r="K13" s="13" t="s">
        <v>36</v>
      </c>
      <c r="L13" s="14" t="s">
        <v>93</v>
      </c>
      <c r="M13" s="13" t="s">
        <v>52</v>
      </c>
      <c r="N13" s="14" t="s">
        <v>94</v>
      </c>
      <c r="O13" s="13" t="s">
        <v>54</v>
      </c>
      <c r="P13" s="14" t="s">
        <v>60</v>
      </c>
      <c r="Q13" s="13" t="s">
        <v>34</v>
      </c>
      <c r="R13" s="14" t="s">
        <v>33</v>
      </c>
      <c r="S13" s="13" t="s">
        <v>34</v>
      </c>
      <c r="T13" s="13" t="s">
        <v>34</v>
      </c>
      <c r="U13" s="13" t="s">
        <v>34</v>
      </c>
      <c r="V13" s="13" t="s">
        <v>95</v>
      </c>
      <c r="W13" s="13" t="s">
        <v>44</v>
      </c>
      <c r="X13" s="13" t="s">
        <v>34</v>
      </c>
      <c r="Y13" s="41" t="s">
        <v>96</v>
      </c>
      <c r="Z13" s="43">
        <f>_xlfn.XLOOKUP(A13,Data!A10:A712,Data!C10:C712)</f>
        <v>2021</v>
      </c>
      <c r="AA13" s="43" t="str">
        <f>_xlfn.XLOOKUP(A13,Data!A10:A712,Data!E10:E712)</f>
        <v>Article</v>
      </c>
    </row>
    <row r="14" spans="1:27" ht="14.4" x14ac:dyDescent="0.3">
      <c r="A14" s="9" t="s">
        <v>97</v>
      </c>
      <c r="B14" s="10" t="s">
        <v>31</v>
      </c>
      <c r="C14" s="9"/>
      <c r="D14" s="11"/>
      <c r="E14" s="12" t="s">
        <v>32</v>
      </c>
      <c r="F14" s="11"/>
      <c r="G14" s="11" t="s">
        <v>33</v>
      </c>
      <c r="H14" s="9" t="s">
        <v>42</v>
      </c>
      <c r="I14" s="11" t="s">
        <v>33</v>
      </c>
      <c r="J14" s="9" t="s">
        <v>35</v>
      </c>
      <c r="K14" s="9" t="s">
        <v>36</v>
      </c>
      <c r="L14" s="11" t="s">
        <v>98</v>
      </c>
      <c r="M14" s="9" t="s">
        <v>52</v>
      </c>
      <c r="N14" s="11" t="s">
        <v>33</v>
      </c>
      <c r="O14" s="9" t="s">
        <v>54</v>
      </c>
      <c r="P14" s="11" t="s">
        <v>55</v>
      </c>
      <c r="Q14" s="9" t="s">
        <v>34</v>
      </c>
      <c r="R14" s="11" t="s">
        <v>99</v>
      </c>
      <c r="S14" s="9" t="s">
        <v>34</v>
      </c>
      <c r="T14" s="9" t="s">
        <v>34</v>
      </c>
      <c r="U14" s="9" t="s">
        <v>34</v>
      </c>
      <c r="V14" s="9" t="s">
        <v>43</v>
      </c>
      <c r="W14" s="9" t="s">
        <v>44</v>
      </c>
      <c r="X14" s="9" t="s">
        <v>34</v>
      </c>
      <c r="Y14" s="40" t="s">
        <v>100</v>
      </c>
      <c r="Z14" s="43">
        <f>_xlfn.XLOOKUP(A14,Data!A11:A713,Data!C11:C713)</f>
        <v>2016</v>
      </c>
      <c r="AA14" s="43" t="str">
        <f>_xlfn.XLOOKUP(A14,Data!A11:A713,Data!E11:E713)</f>
        <v>Article</v>
      </c>
    </row>
    <row r="15" spans="1:27" ht="34.200000000000003" x14ac:dyDescent="0.3">
      <c r="A15" s="16" t="s">
        <v>101</v>
      </c>
      <c r="B15" s="17" t="s">
        <v>102</v>
      </c>
      <c r="C15" s="16" t="s">
        <v>103</v>
      </c>
      <c r="D15" s="18" t="s">
        <v>104</v>
      </c>
      <c r="E15" s="12" t="s">
        <v>32</v>
      </c>
      <c r="F15" s="18"/>
      <c r="G15" s="18" t="s">
        <v>105</v>
      </c>
      <c r="H15" s="16" t="s">
        <v>34</v>
      </c>
      <c r="I15" s="18"/>
      <c r="J15" s="16" t="s">
        <v>35</v>
      </c>
      <c r="K15" s="16" t="s">
        <v>34</v>
      </c>
      <c r="L15" s="18" t="s">
        <v>33</v>
      </c>
      <c r="M15" s="16" t="s">
        <v>38</v>
      </c>
      <c r="N15" s="18" t="s">
        <v>106</v>
      </c>
      <c r="O15" s="16" t="s">
        <v>54</v>
      </c>
      <c r="P15" s="18" t="s">
        <v>107</v>
      </c>
      <c r="Q15" s="16" t="s">
        <v>34</v>
      </c>
      <c r="R15" s="18" t="s">
        <v>33</v>
      </c>
      <c r="S15" s="16" t="s">
        <v>34</v>
      </c>
      <c r="T15" s="16" t="s">
        <v>42</v>
      </c>
      <c r="U15" s="16" t="s">
        <v>34</v>
      </c>
      <c r="V15" s="16" t="s">
        <v>62</v>
      </c>
      <c r="W15" s="16" t="s">
        <v>63</v>
      </c>
      <c r="X15" s="16" t="s">
        <v>34</v>
      </c>
      <c r="Y15" s="30" t="s">
        <v>108</v>
      </c>
      <c r="Z15" s="43">
        <f>_xlfn.XLOOKUP(A15,Data!A12:A714,Data!C12:C714)</f>
        <v>2021</v>
      </c>
      <c r="AA15" s="43" t="str">
        <f>_xlfn.XLOOKUP(A15,Data!A12:A714,Data!E12:E714)</f>
        <v>Article</v>
      </c>
    </row>
    <row r="16" spans="1:27" ht="22.8" x14ac:dyDescent="0.3">
      <c r="A16" s="9" t="s">
        <v>109</v>
      </c>
      <c r="B16" s="10" t="s">
        <v>31</v>
      </c>
      <c r="C16" s="9"/>
      <c r="D16" s="11"/>
      <c r="E16" s="12" t="s">
        <v>32</v>
      </c>
      <c r="F16" s="11"/>
      <c r="G16" s="11" t="s">
        <v>33</v>
      </c>
      <c r="H16" s="9" t="s">
        <v>42</v>
      </c>
      <c r="I16" s="11" t="s">
        <v>66</v>
      </c>
      <c r="J16" s="9" t="s">
        <v>35</v>
      </c>
      <c r="K16" s="9" t="s">
        <v>36</v>
      </c>
      <c r="L16" s="11" t="s">
        <v>75</v>
      </c>
      <c r="M16" s="9" t="s">
        <v>52</v>
      </c>
      <c r="N16" s="11" t="s">
        <v>110</v>
      </c>
      <c r="O16" s="9" t="s">
        <v>40</v>
      </c>
      <c r="P16" s="11" t="s">
        <v>55</v>
      </c>
      <c r="Q16" s="9" t="s">
        <v>34</v>
      </c>
      <c r="R16" s="11" t="s">
        <v>33</v>
      </c>
      <c r="S16" s="9" t="s">
        <v>34</v>
      </c>
      <c r="T16" s="9" t="s">
        <v>34</v>
      </c>
      <c r="U16" s="9" t="s">
        <v>34</v>
      </c>
      <c r="V16" s="9" t="s">
        <v>62</v>
      </c>
      <c r="W16" s="9" t="s">
        <v>63</v>
      </c>
      <c r="X16" s="9" t="s">
        <v>34</v>
      </c>
      <c r="Y16" s="40" t="s">
        <v>86</v>
      </c>
      <c r="Z16" s="43">
        <f>_xlfn.XLOOKUP(A16,Data!A13:A715,Data!C13:C715)</f>
        <v>2022</v>
      </c>
      <c r="AA16" s="43" t="str">
        <f>_xlfn.XLOOKUP(A16,Data!A13:A715,Data!E13:E715)</f>
        <v>Article</v>
      </c>
    </row>
    <row r="17" spans="1:27" ht="14.4" x14ac:dyDescent="0.3">
      <c r="A17" s="13" t="s">
        <v>111</v>
      </c>
      <c r="B17" s="10" t="s">
        <v>31</v>
      </c>
      <c r="C17" s="13"/>
      <c r="D17" s="14"/>
      <c r="E17" s="12" t="s">
        <v>32</v>
      </c>
      <c r="F17" s="14"/>
      <c r="G17" s="14" t="s">
        <v>33</v>
      </c>
      <c r="H17" s="13" t="s">
        <v>34</v>
      </c>
      <c r="I17" s="14"/>
      <c r="J17" s="13" t="s">
        <v>35</v>
      </c>
      <c r="K17" s="13" t="s">
        <v>36</v>
      </c>
      <c r="L17" s="14" t="s">
        <v>112</v>
      </c>
      <c r="M17" s="13" t="s">
        <v>113</v>
      </c>
      <c r="N17" s="14" t="s">
        <v>33</v>
      </c>
      <c r="O17" s="13" t="s">
        <v>54</v>
      </c>
      <c r="P17" s="14" t="s">
        <v>60</v>
      </c>
      <c r="Q17" s="13" t="s">
        <v>34</v>
      </c>
      <c r="R17" s="14" t="s">
        <v>33</v>
      </c>
      <c r="S17" s="13" t="s">
        <v>34</v>
      </c>
      <c r="T17" s="13" t="s">
        <v>34</v>
      </c>
      <c r="U17" s="13" t="s">
        <v>34</v>
      </c>
      <c r="V17" s="13" t="s">
        <v>62</v>
      </c>
      <c r="W17" s="13" t="s">
        <v>63</v>
      </c>
      <c r="X17" s="13" t="s">
        <v>34</v>
      </c>
      <c r="Y17" s="41" t="s">
        <v>114</v>
      </c>
      <c r="Z17" s="43">
        <f>_xlfn.XLOOKUP(A17,Data!A14:A716,Data!C14:C716)</f>
        <v>2020</v>
      </c>
      <c r="AA17" s="43" t="str">
        <f>_xlfn.XLOOKUP(A17,Data!A14:A716,Data!E14:E716)</f>
        <v>Article</v>
      </c>
    </row>
    <row r="18" spans="1:27" ht="14.4" x14ac:dyDescent="0.3">
      <c r="A18" s="9" t="s">
        <v>115</v>
      </c>
      <c r="B18" s="10" t="s">
        <v>31</v>
      </c>
      <c r="C18" s="9"/>
      <c r="D18" s="11"/>
      <c r="E18" s="12" t="s">
        <v>32</v>
      </c>
      <c r="F18" s="11"/>
      <c r="G18" s="11" t="s">
        <v>33</v>
      </c>
      <c r="H18" s="9" t="s">
        <v>34</v>
      </c>
      <c r="I18" s="11"/>
      <c r="J18" s="9" t="s">
        <v>35</v>
      </c>
      <c r="K18" s="9" t="s">
        <v>36</v>
      </c>
      <c r="L18" s="11" t="s">
        <v>75</v>
      </c>
      <c r="M18" s="9" t="s">
        <v>52</v>
      </c>
      <c r="N18" s="11" t="s">
        <v>33</v>
      </c>
      <c r="O18" s="9" t="s">
        <v>54</v>
      </c>
      <c r="P18" s="11" t="s">
        <v>107</v>
      </c>
      <c r="Q18" s="9" t="s">
        <v>34</v>
      </c>
      <c r="R18" s="11" t="s">
        <v>33</v>
      </c>
      <c r="S18" s="9" t="s">
        <v>34</v>
      </c>
      <c r="T18" s="9" t="s">
        <v>34</v>
      </c>
      <c r="U18" s="9" t="s">
        <v>34</v>
      </c>
      <c r="V18" s="9" t="s">
        <v>43</v>
      </c>
      <c r="W18" s="9" t="s">
        <v>63</v>
      </c>
      <c r="X18" s="9" t="s">
        <v>34</v>
      </c>
      <c r="Y18" s="40" t="s">
        <v>116</v>
      </c>
      <c r="Z18" s="43">
        <f>_xlfn.XLOOKUP(A18,Data!A15:A717,Data!C15:C717)</f>
        <v>2024</v>
      </c>
      <c r="AA18" s="43" t="str">
        <f>_xlfn.XLOOKUP(A18,Data!A15:A717,Data!E15:E717)</f>
        <v>Article</v>
      </c>
    </row>
    <row r="19" spans="1:27" ht="14.4" x14ac:dyDescent="0.3">
      <c r="A19" s="13" t="s">
        <v>117</v>
      </c>
      <c r="B19" s="10" t="s">
        <v>31</v>
      </c>
      <c r="C19" s="13"/>
      <c r="D19" s="14"/>
      <c r="E19" s="12" t="s">
        <v>32</v>
      </c>
      <c r="F19" s="14"/>
      <c r="G19" s="14" t="s">
        <v>33</v>
      </c>
      <c r="H19" s="13" t="s">
        <v>34</v>
      </c>
      <c r="I19" s="14"/>
      <c r="J19" s="13" t="s">
        <v>35</v>
      </c>
      <c r="K19" s="13" t="s">
        <v>36</v>
      </c>
      <c r="L19" s="14" t="s">
        <v>118</v>
      </c>
      <c r="M19" s="13" t="s">
        <v>52</v>
      </c>
      <c r="N19" s="14" t="s">
        <v>119</v>
      </c>
      <c r="O19" s="13" t="s">
        <v>60</v>
      </c>
      <c r="P19" s="14" t="s">
        <v>60</v>
      </c>
      <c r="Q19" s="13" t="s">
        <v>34</v>
      </c>
      <c r="R19" s="14" t="s">
        <v>33</v>
      </c>
      <c r="S19" s="13" t="s">
        <v>34</v>
      </c>
      <c r="T19" s="13" t="s">
        <v>34</v>
      </c>
      <c r="U19" s="13" t="s">
        <v>42</v>
      </c>
      <c r="V19" s="13" t="s">
        <v>43</v>
      </c>
      <c r="W19" s="13" t="s">
        <v>63</v>
      </c>
      <c r="X19" s="13" t="s">
        <v>34</v>
      </c>
      <c r="Y19" s="41" t="s">
        <v>120</v>
      </c>
      <c r="Z19" s="43">
        <f>_xlfn.XLOOKUP(A19,Data!A16:A718,Data!C16:C718)</f>
        <v>2025</v>
      </c>
      <c r="AA19" s="43" t="str">
        <f>_xlfn.XLOOKUP(A19,Data!A16:A718,Data!E16:E718)</f>
        <v>Article</v>
      </c>
    </row>
    <row r="20" spans="1:27" ht="22.8" x14ac:dyDescent="0.3">
      <c r="A20" s="15" t="s">
        <v>121</v>
      </c>
      <c r="B20" s="19" t="s">
        <v>122</v>
      </c>
      <c r="C20" s="15" t="s">
        <v>123</v>
      </c>
      <c r="D20" s="20" t="s">
        <v>124</v>
      </c>
      <c r="E20" s="21" t="s">
        <v>125</v>
      </c>
      <c r="F20" s="20"/>
      <c r="G20" s="20" t="s">
        <v>33</v>
      </c>
      <c r="H20" s="15" t="s">
        <v>34</v>
      </c>
      <c r="I20" s="20"/>
      <c r="J20" s="15" t="s">
        <v>126</v>
      </c>
      <c r="K20" s="15" t="s">
        <v>36</v>
      </c>
      <c r="L20" s="20" t="s">
        <v>33</v>
      </c>
      <c r="M20" s="15" t="s">
        <v>38</v>
      </c>
      <c r="N20" s="20" t="s">
        <v>33</v>
      </c>
      <c r="O20" s="15" t="s">
        <v>60</v>
      </c>
      <c r="P20" s="20" t="s">
        <v>60</v>
      </c>
      <c r="Q20" s="15" t="s">
        <v>34</v>
      </c>
      <c r="R20" s="20" t="s">
        <v>33</v>
      </c>
      <c r="S20" s="15" t="s">
        <v>34</v>
      </c>
      <c r="T20" s="15" t="s">
        <v>34</v>
      </c>
      <c r="U20" s="15" t="s">
        <v>34</v>
      </c>
      <c r="V20" s="15" t="s">
        <v>62</v>
      </c>
      <c r="W20" s="15" t="s">
        <v>63</v>
      </c>
      <c r="X20" s="15" t="s">
        <v>34</v>
      </c>
      <c r="Y20" s="42" t="s">
        <v>68</v>
      </c>
      <c r="Z20" s="43">
        <f>_xlfn.XLOOKUP(A20,Data!A17:A719,Data!C17:C719)</f>
        <v>2024</v>
      </c>
      <c r="AA20" s="43" t="str">
        <f>_xlfn.XLOOKUP(A20,Data!A17:A719,Data!E17:E719)</f>
        <v>Article</v>
      </c>
    </row>
    <row r="21" spans="1:27" ht="15.75" customHeight="1" x14ac:dyDescent="0.3">
      <c r="A21" s="15" t="s">
        <v>127</v>
      </c>
      <c r="B21" s="19" t="s">
        <v>122</v>
      </c>
      <c r="C21" s="15" t="s">
        <v>123</v>
      </c>
      <c r="D21" s="20" t="s">
        <v>124</v>
      </c>
      <c r="E21" s="21" t="s">
        <v>125</v>
      </c>
      <c r="F21" s="20"/>
      <c r="G21" s="20" t="s">
        <v>33</v>
      </c>
      <c r="H21" s="15" t="s">
        <v>42</v>
      </c>
      <c r="I21" s="20" t="s">
        <v>128</v>
      </c>
      <c r="J21" s="15" t="s">
        <v>35</v>
      </c>
      <c r="K21" s="15" t="s">
        <v>42</v>
      </c>
      <c r="L21" s="20" t="s">
        <v>71</v>
      </c>
      <c r="M21" s="15" t="s">
        <v>113</v>
      </c>
      <c r="N21" s="20" t="s">
        <v>129</v>
      </c>
      <c r="O21" s="15" t="s">
        <v>40</v>
      </c>
      <c r="P21" s="20" t="s">
        <v>55</v>
      </c>
      <c r="Q21" s="15" t="s">
        <v>34</v>
      </c>
      <c r="R21" s="20" t="s">
        <v>33</v>
      </c>
      <c r="S21" s="15" t="s">
        <v>34</v>
      </c>
      <c r="T21" s="15" t="s">
        <v>34</v>
      </c>
      <c r="U21" s="15" t="s">
        <v>34</v>
      </c>
      <c r="V21" s="15" t="s">
        <v>43</v>
      </c>
      <c r="W21" s="15" t="s">
        <v>44</v>
      </c>
      <c r="X21" s="15" t="s">
        <v>34</v>
      </c>
      <c r="Y21" s="42" t="s">
        <v>45</v>
      </c>
      <c r="Z21" s="43">
        <f>_xlfn.XLOOKUP(A21,Data!A18:A720,Data!C18:C720)</f>
        <v>2023</v>
      </c>
      <c r="AA21" s="43" t="str">
        <f>_xlfn.XLOOKUP(A21,Data!A18:A720,Data!E18:E720)</f>
        <v>Article</v>
      </c>
    </row>
    <row r="22" spans="1:27" ht="15.75" customHeight="1" x14ac:dyDescent="0.3">
      <c r="A22" s="9" t="s">
        <v>130</v>
      </c>
      <c r="B22" s="10" t="s">
        <v>31</v>
      </c>
      <c r="C22" s="9"/>
      <c r="D22" s="11"/>
      <c r="E22" s="12" t="s">
        <v>32</v>
      </c>
      <c r="F22" s="11"/>
      <c r="G22" s="11" t="s">
        <v>49</v>
      </c>
      <c r="H22" s="9" t="s">
        <v>34</v>
      </c>
      <c r="I22" s="11"/>
      <c r="J22" s="9" t="s">
        <v>35</v>
      </c>
      <c r="K22" s="9" t="s">
        <v>42</v>
      </c>
      <c r="L22" s="11" t="s">
        <v>131</v>
      </c>
      <c r="M22" s="9" t="s">
        <v>52</v>
      </c>
      <c r="N22" s="11" t="s">
        <v>33</v>
      </c>
      <c r="O22" s="9" t="s">
        <v>60</v>
      </c>
      <c r="P22" s="11" t="s">
        <v>41</v>
      </c>
      <c r="Q22" s="9" t="s">
        <v>34</v>
      </c>
      <c r="R22" s="11" t="s">
        <v>132</v>
      </c>
      <c r="S22" s="9" t="s">
        <v>34</v>
      </c>
      <c r="T22" s="9" t="s">
        <v>34</v>
      </c>
      <c r="U22" s="9" t="s">
        <v>42</v>
      </c>
      <c r="V22" s="9" t="s">
        <v>62</v>
      </c>
      <c r="W22" s="9" t="s">
        <v>63</v>
      </c>
      <c r="X22" s="9" t="s">
        <v>34</v>
      </c>
      <c r="Y22" s="40" t="s">
        <v>133</v>
      </c>
      <c r="Z22" s="43">
        <f>_xlfn.XLOOKUP(A22,Data!A19:A721,Data!C19:C721)</f>
        <v>2025</v>
      </c>
      <c r="AA22" s="43" t="str">
        <f>_xlfn.XLOOKUP(A22,Data!A19:A721,Data!E19:E721)</f>
        <v>Article</v>
      </c>
    </row>
    <row r="23" spans="1:27" ht="15.75" customHeight="1" x14ac:dyDescent="0.3">
      <c r="A23" s="13" t="s">
        <v>134</v>
      </c>
      <c r="B23" s="10" t="s">
        <v>31</v>
      </c>
      <c r="C23" s="13"/>
      <c r="D23" s="14"/>
      <c r="E23" s="9" t="s">
        <v>70</v>
      </c>
      <c r="F23" s="14"/>
      <c r="G23" s="14" t="s">
        <v>33</v>
      </c>
      <c r="H23" s="13" t="s">
        <v>34</v>
      </c>
      <c r="I23" s="14"/>
      <c r="J23" s="13" t="s">
        <v>83</v>
      </c>
      <c r="K23" s="13" t="s">
        <v>42</v>
      </c>
      <c r="L23" s="14" t="s">
        <v>135</v>
      </c>
      <c r="M23" s="13" t="s">
        <v>52</v>
      </c>
      <c r="N23" s="14" t="s">
        <v>136</v>
      </c>
      <c r="O23" s="13" t="s">
        <v>54</v>
      </c>
      <c r="P23" s="14" t="s">
        <v>107</v>
      </c>
      <c r="Q23" s="13" t="s">
        <v>56</v>
      </c>
      <c r="R23" s="14" t="s">
        <v>33</v>
      </c>
      <c r="S23" s="13" t="s">
        <v>34</v>
      </c>
      <c r="T23" s="13" t="s">
        <v>34</v>
      </c>
      <c r="U23" s="13" t="s">
        <v>34</v>
      </c>
      <c r="V23" s="13" t="s">
        <v>62</v>
      </c>
      <c r="W23" s="13" t="s">
        <v>63</v>
      </c>
      <c r="X23" s="13" t="s">
        <v>34</v>
      </c>
      <c r="Y23" s="41" t="s">
        <v>90</v>
      </c>
      <c r="Z23" s="43">
        <f>_xlfn.XLOOKUP(A23,Data!A20:A722,Data!C20:C722)</f>
        <v>2022</v>
      </c>
      <c r="AA23" s="43" t="str">
        <f>_xlfn.XLOOKUP(A23,Data!A20:A722,Data!E20:E722)</f>
        <v>Article</v>
      </c>
    </row>
    <row r="24" spans="1:27" ht="15.75" customHeight="1" x14ac:dyDescent="0.3">
      <c r="A24" s="9" t="s">
        <v>137</v>
      </c>
      <c r="B24" s="10" t="s">
        <v>31</v>
      </c>
      <c r="C24" s="9"/>
      <c r="D24" s="11"/>
      <c r="E24" s="9" t="s">
        <v>70</v>
      </c>
      <c r="F24" s="11"/>
      <c r="G24" s="11" t="s">
        <v>33</v>
      </c>
      <c r="H24" s="9" t="s">
        <v>34</v>
      </c>
      <c r="I24" s="11"/>
      <c r="J24" s="9" t="s">
        <v>35</v>
      </c>
      <c r="K24" s="9" t="s">
        <v>36</v>
      </c>
      <c r="L24" s="11" t="s">
        <v>138</v>
      </c>
      <c r="M24" s="9" t="s">
        <v>52</v>
      </c>
      <c r="N24" s="11" t="s">
        <v>33</v>
      </c>
      <c r="O24" s="9" t="s">
        <v>54</v>
      </c>
      <c r="P24" s="11" t="s">
        <v>60</v>
      </c>
      <c r="Q24" s="9" t="s">
        <v>34</v>
      </c>
      <c r="R24" s="11" t="s">
        <v>33</v>
      </c>
      <c r="S24" s="9" t="s">
        <v>34</v>
      </c>
      <c r="T24" s="9" t="s">
        <v>34</v>
      </c>
      <c r="U24" s="9" t="s">
        <v>34</v>
      </c>
      <c r="V24" s="9" t="s">
        <v>62</v>
      </c>
      <c r="W24" s="9" t="s">
        <v>63</v>
      </c>
      <c r="X24" s="9" t="s">
        <v>34</v>
      </c>
      <c r="Y24" s="40" t="s">
        <v>139</v>
      </c>
      <c r="Z24" s="43">
        <f>_xlfn.XLOOKUP(A24,Data!A21:A723,Data!C21:C723)</f>
        <v>2023</v>
      </c>
      <c r="AA24" s="43" t="str">
        <f>_xlfn.XLOOKUP(A24,Data!A21:A723,Data!E21:E723)</f>
        <v>Article</v>
      </c>
    </row>
    <row r="25" spans="1:27" ht="15.75" customHeight="1" x14ac:dyDescent="0.3">
      <c r="A25" s="15" t="s">
        <v>140</v>
      </c>
      <c r="B25" s="19" t="s">
        <v>122</v>
      </c>
      <c r="C25" s="15" t="s">
        <v>123</v>
      </c>
      <c r="D25" s="20" t="s">
        <v>124</v>
      </c>
      <c r="E25" s="21" t="s">
        <v>125</v>
      </c>
      <c r="F25" s="20"/>
      <c r="G25" s="20" t="s">
        <v>33</v>
      </c>
      <c r="H25" s="15" t="s">
        <v>34</v>
      </c>
      <c r="I25" s="20"/>
      <c r="J25" s="15" t="s">
        <v>35</v>
      </c>
      <c r="K25" s="15" t="s">
        <v>42</v>
      </c>
      <c r="L25" s="20" t="s">
        <v>141</v>
      </c>
      <c r="M25" s="15" t="s">
        <v>52</v>
      </c>
      <c r="N25" s="20" t="s">
        <v>59</v>
      </c>
      <c r="O25" s="15" t="s">
        <v>60</v>
      </c>
      <c r="P25" s="20" t="s">
        <v>107</v>
      </c>
      <c r="Q25" s="15" t="s">
        <v>34</v>
      </c>
      <c r="R25" s="20" t="s">
        <v>33</v>
      </c>
      <c r="S25" s="15" t="s">
        <v>34</v>
      </c>
      <c r="T25" s="15" t="s">
        <v>34</v>
      </c>
      <c r="U25" s="15" t="s">
        <v>34</v>
      </c>
      <c r="V25" s="15" t="s">
        <v>43</v>
      </c>
      <c r="W25" s="15" t="s">
        <v>44</v>
      </c>
      <c r="X25" s="15" t="s">
        <v>34</v>
      </c>
      <c r="Y25" s="42" t="s">
        <v>45</v>
      </c>
      <c r="Z25" s="43">
        <f>_xlfn.XLOOKUP(A25,Data!A22:A724,Data!C22:C724)</f>
        <v>2016</v>
      </c>
      <c r="AA25" s="43" t="str">
        <f>_xlfn.XLOOKUP(A25,Data!A22:A724,Data!E22:E724)</f>
        <v>Article</v>
      </c>
    </row>
    <row r="26" spans="1:27" ht="15.75" customHeight="1" x14ac:dyDescent="0.3">
      <c r="A26" s="15" t="s">
        <v>142</v>
      </c>
      <c r="B26" s="19" t="s">
        <v>122</v>
      </c>
      <c r="C26" s="15" t="s">
        <v>123</v>
      </c>
      <c r="D26" s="20" t="s">
        <v>124</v>
      </c>
      <c r="E26" s="21" t="s">
        <v>125</v>
      </c>
      <c r="F26" s="20"/>
      <c r="G26" s="20" t="s">
        <v>33</v>
      </c>
      <c r="H26" s="15" t="s">
        <v>42</v>
      </c>
      <c r="I26" s="20" t="s">
        <v>78</v>
      </c>
      <c r="J26" s="15" t="s">
        <v>35</v>
      </c>
      <c r="K26" s="15" t="s">
        <v>42</v>
      </c>
      <c r="L26" s="20" t="s">
        <v>138</v>
      </c>
      <c r="M26" s="15" t="s">
        <v>52</v>
      </c>
      <c r="N26" s="20" t="s">
        <v>72</v>
      </c>
      <c r="O26" s="15" t="s">
        <v>60</v>
      </c>
      <c r="P26" s="20" t="s">
        <v>60</v>
      </c>
      <c r="Q26" s="15" t="s">
        <v>56</v>
      </c>
      <c r="R26" s="20" t="s">
        <v>33</v>
      </c>
      <c r="S26" s="15" t="s">
        <v>42</v>
      </c>
      <c r="T26" s="15" t="s">
        <v>34</v>
      </c>
      <c r="U26" s="15" t="s">
        <v>42</v>
      </c>
      <c r="V26" s="15" t="s">
        <v>62</v>
      </c>
      <c r="W26" s="15" t="s">
        <v>63</v>
      </c>
      <c r="X26" s="15" t="s">
        <v>34</v>
      </c>
      <c r="Y26" s="42" t="s">
        <v>139</v>
      </c>
      <c r="Z26" s="43">
        <f>_xlfn.XLOOKUP(A26,Data!A23:A725,Data!C23:C725)</f>
        <v>2023</v>
      </c>
      <c r="AA26" s="43" t="str">
        <f>_xlfn.XLOOKUP(A26,Data!A23:A725,Data!E23:E725)</f>
        <v>Article</v>
      </c>
    </row>
    <row r="27" spans="1:27" ht="15.75" customHeight="1" x14ac:dyDescent="0.3">
      <c r="A27" s="15" t="s">
        <v>143</v>
      </c>
      <c r="B27" s="19" t="s">
        <v>122</v>
      </c>
      <c r="C27" s="15" t="s">
        <v>123</v>
      </c>
      <c r="D27" s="20" t="s">
        <v>124</v>
      </c>
      <c r="E27" s="21" t="s">
        <v>125</v>
      </c>
      <c r="F27" s="20"/>
      <c r="G27" s="20" t="s">
        <v>33</v>
      </c>
      <c r="H27" s="15" t="s">
        <v>42</v>
      </c>
      <c r="I27" s="20" t="s">
        <v>144</v>
      </c>
      <c r="J27" s="15" t="s">
        <v>35</v>
      </c>
      <c r="K27" s="15" t="s">
        <v>42</v>
      </c>
      <c r="L27" s="20" t="s">
        <v>145</v>
      </c>
      <c r="M27" s="15" t="s">
        <v>113</v>
      </c>
      <c r="N27" s="20" t="s">
        <v>146</v>
      </c>
      <c r="O27" s="15" t="s">
        <v>40</v>
      </c>
      <c r="P27" s="20" t="s">
        <v>55</v>
      </c>
      <c r="Q27" s="15" t="s">
        <v>34</v>
      </c>
      <c r="R27" s="20" t="s">
        <v>33</v>
      </c>
      <c r="S27" s="15" t="s">
        <v>34</v>
      </c>
      <c r="T27" s="15" t="s">
        <v>34</v>
      </c>
      <c r="U27" s="15" t="s">
        <v>42</v>
      </c>
      <c r="V27" s="15" t="s">
        <v>43</v>
      </c>
      <c r="W27" s="15" t="s">
        <v>63</v>
      </c>
      <c r="X27" s="15" t="s">
        <v>34</v>
      </c>
      <c r="Y27" s="42" t="s">
        <v>147</v>
      </c>
      <c r="Z27" s="43">
        <f>_xlfn.XLOOKUP(A27,Data!A24:A726,Data!C24:C726)</f>
        <v>2024</v>
      </c>
      <c r="AA27" s="43" t="str">
        <f>_xlfn.XLOOKUP(A27,Data!A24:A726,Data!E24:E726)</f>
        <v>Article</v>
      </c>
    </row>
    <row r="28" spans="1:27" ht="15.75" customHeight="1" x14ac:dyDescent="0.3">
      <c r="A28" s="9" t="s">
        <v>148</v>
      </c>
      <c r="B28" s="10" t="s">
        <v>31</v>
      </c>
      <c r="C28" s="9"/>
      <c r="D28" s="11"/>
      <c r="E28" s="12" t="s">
        <v>32</v>
      </c>
      <c r="F28" s="11"/>
      <c r="G28" s="11" t="s">
        <v>33</v>
      </c>
      <c r="H28" s="9" t="s">
        <v>34</v>
      </c>
      <c r="I28" s="11"/>
      <c r="J28" s="9" t="s">
        <v>35</v>
      </c>
      <c r="K28" s="9" t="s">
        <v>36</v>
      </c>
      <c r="L28" s="11" t="s">
        <v>67</v>
      </c>
      <c r="M28" s="9" t="s">
        <v>52</v>
      </c>
      <c r="N28" s="11" t="s">
        <v>149</v>
      </c>
      <c r="O28" s="9" t="s">
        <v>60</v>
      </c>
      <c r="P28" s="11" t="s">
        <v>55</v>
      </c>
      <c r="Q28" s="9" t="s">
        <v>34</v>
      </c>
      <c r="R28" s="11" t="s">
        <v>33</v>
      </c>
      <c r="S28" s="9" t="s">
        <v>34</v>
      </c>
      <c r="T28" s="9" t="s">
        <v>34</v>
      </c>
      <c r="U28" s="9" t="s">
        <v>34</v>
      </c>
      <c r="V28" s="9" t="s">
        <v>62</v>
      </c>
      <c r="W28" s="9" t="s">
        <v>63</v>
      </c>
      <c r="X28" s="9" t="s">
        <v>34</v>
      </c>
      <c r="Y28" s="40" t="s">
        <v>68</v>
      </c>
      <c r="Z28" s="43">
        <f>_xlfn.XLOOKUP(A28,Data!A25:A727,Data!C25:C727)</f>
        <v>2017</v>
      </c>
      <c r="AA28" s="43" t="str">
        <f>_xlfn.XLOOKUP(A28,Data!A25:A727,Data!E25:E727)</f>
        <v>Article</v>
      </c>
    </row>
    <row r="29" spans="1:27" ht="15.75" customHeight="1" x14ac:dyDescent="0.3">
      <c r="A29" s="13" t="s">
        <v>150</v>
      </c>
      <c r="B29" s="10" t="s">
        <v>31</v>
      </c>
      <c r="C29" s="13"/>
      <c r="D29" s="14"/>
      <c r="E29" s="12" t="s">
        <v>32</v>
      </c>
      <c r="F29" s="14"/>
      <c r="G29" s="14" t="s">
        <v>33</v>
      </c>
      <c r="H29" s="13" t="s">
        <v>42</v>
      </c>
      <c r="I29" s="14" t="s">
        <v>151</v>
      </c>
      <c r="J29" s="13" t="s">
        <v>35</v>
      </c>
      <c r="K29" s="13" t="s">
        <v>36</v>
      </c>
      <c r="L29" s="14" t="s">
        <v>71</v>
      </c>
      <c r="M29" s="13" t="s">
        <v>52</v>
      </c>
      <c r="N29" s="14" t="s">
        <v>152</v>
      </c>
      <c r="O29" s="13" t="s">
        <v>54</v>
      </c>
      <c r="P29" s="14" t="s">
        <v>55</v>
      </c>
      <c r="Q29" s="13" t="s">
        <v>56</v>
      </c>
      <c r="R29" s="14" t="s">
        <v>33</v>
      </c>
      <c r="S29" s="13" t="s">
        <v>34</v>
      </c>
      <c r="T29" s="13" t="s">
        <v>34</v>
      </c>
      <c r="U29" s="13" t="s">
        <v>34</v>
      </c>
      <c r="V29" s="13" t="s">
        <v>43</v>
      </c>
      <c r="W29" s="13" t="s">
        <v>44</v>
      </c>
      <c r="X29" s="13" t="s">
        <v>34</v>
      </c>
      <c r="Y29" s="41" t="s">
        <v>153</v>
      </c>
      <c r="Z29" s="43">
        <f>_xlfn.XLOOKUP(A29,Data!A26:A728,Data!C26:C728)</f>
        <v>2015</v>
      </c>
      <c r="AA29" s="43" t="str">
        <f>_xlfn.XLOOKUP(A29,Data!A26:A728,Data!E26:E728)</f>
        <v>Article</v>
      </c>
    </row>
    <row r="30" spans="1:27" ht="15.75" customHeight="1" x14ac:dyDescent="0.3">
      <c r="A30" s="9" t="s">
        <v>154</v>
      </c>
      <c r="B30" s="10" t="s">
        <v>31</v>
      </c>
      <c r="C30" s="9"/>
      <c r="D30" s="11"/>
      <c r="E30" s="12" t="s">
        <v>32</v>
      </c>
      <c r="F30" s="11"/>
      <c r="G30" s="11" t="s">
        <v>33</v>
      </c>
      <c r="H30" s="9" t="s">
        <v>42</v>
      </c>
      <c r="I30" s="11" t="s">
        <v>78</v>
      </c>
      <c r="J30" s="9" t="s">
        <v>35</v>
      </c>
      <c r="K30" s="9" t="s">
        <v>42</v>
      </c>
      <c r="L30" s="11" t="s">
        <v>118</v>
      </c>
      <c r="M30" s="9" t="s">
        <v>52</v>
      </c>
      <c r="N30" s="11" t="s">
        <v>155</v>
      </c>
      <c r="O30" s="9" t="s">
        <v>60</v>
      </c>
      <c r="P30" s="11" t="s">
        <v>55</v>
      </c>
      <c r="Q30" s="9" t="s">
        <v>34</v>
      </c>
      <c r="R30" s="11" t="s">
        <v>33</v>
      </c>
      <c r="S30" s="9" t="s">
        <v>34</v>
      </c>
      <c r="T30" s="9" t="s">
        <v>34</v>
      </c>
      <c r="U30" s="9" t="s">
        <v>34</v>
      </c>
      <c r="V30" s="9" t="s">
        <v>43</v>
      </c>
      <c r="W30" s="9" t="s">
        <v>44</v>
      </c>
      <c r="X30" s="9" t="s">
        <v>34</v>
      </c>
      <c r="Y30" s="40" t="s">
        <v>45</v>
      </c>
      <c r="Z30" s="43">
        <f>_xlfn.XLOOKUP(A30,Data!A27:A729,Data!C27:C729)</f>
        <v>2020</v>
      </c>
      <c r="AA30" s="43" t="str">
        <f>_xlfn.XLOOKUP(A30,Data!A27:A729,Data!E27:E729)</f>
        <v>Article</v>
      </c>
    </row>
    <row r="31" spans="1:27" ht="15.75" customHeight="1" x14ac:dyDescent="0.3">
      <c r="A31" s="16" t="s">
        <v>156</v>
      </c>
      <c r="B31" s="17" t="s">
        <v>102</v>
      </c>
      <c r="C31" s="16" t="s">
        <v>103</v>
      </c>
      <c r="D31" s="18" t="s">
        <v>104</v>
      </c>
      <c r="E31" s="12" t="s">
        <v>32</v>
      </c>
      <c r="F31" s="18"/>
      <c r="G31" s="18" t="s">
        <v>157</v>
      </c>
      <c r="H31" s="16" t="s">
        <v>34</v>
      </c>
      <c r="I31" s="18"/>
      <c r="J31" s="16" t="s">
        <v>35</v>
      </c>
      <c r="K31" s="16" t="s">
        <v>34</v>
      </c>
      <c r="L31" s="18" t="s">
        <v>33</v>
      </c>
      <c r="M31" s="16" t="s">
        <v>52</v>
      </c>
      <c r="N31" s="18" t="s">
        <v>158</v>
      </c>
      <c r="O31" s="16" t="s">
        <v>54</v>
      </c>
      <c r="P31" s="18" t="s">
        <v>88</v>
      </c>
      <c r="Q31" s="16" t="s">
        <v>34</v>
      </c>
      <c r="R31" s="18" t="s">
        <v>33</v>
      </c>
      <c r="S31" s="16" t="s">
        <v>34</v>
      </c>
      <c r="T31" s="16" t="s">
        <v>42</v>
      </c>
      <c r="U31" s="16" t="s">
        <v>34</v>
      </c>
      <c r="V31" s="16" t="s">
        <v>62</v>
      </c>
      <c r="W31" s="16" t="s">
        <v>63</v>
      </c>
      <c r="X31" s="16" t="s">
        <v>34</v>
      </c>
      <c r="Y31" s="30" t="s">
        <v>159</v>
      </c>
      <c r="Z31" s="43">
        <f>_xlfn.XLOOKUP(A31,Data!A28:A730,Data!C28:C730)</f>
        <v>2023</v>
      </c>
      <c r="AA31" s="43" t="str">
        <f>_xlfn.XLOOKUP(A31,Data!A28:A730,Data!E28:E730)</f>
        <v>Article</v>
      </c>
    </row>
    <row r="32" spans="1:27" ht="15.75" customHeight="1" x14ac:dyDescent="0.3">
      <c r="A32" s="9" t="s">
        <v>160</v>
      </c>
      <c r="B32" s="10" t="s">
        <v>31</v>
      </c>
      <c r="C32" s="9"/>
      <c r="D32" s="11"/>
      <c r="E32" s="16" t="s">
        <v>161</v>
      </c>
      <c r="F32" s="11"/>
      <c r="G32" s="11" t="s">
        <v>33</v>
      </c>
      <c r="H32" s="9" t="s">
        <v>42</v>
      </c>
      <c r="I32" s="11" t="s">
        <v>33</v>
      </c>
      <c r="J32" s="9" t="s">
        <v>35</v>
      </c>
      <c r="K32" s="9" t="s">
        <v>42</v>
      </c>
      <c r="L32" s="11" t="s">
        <v>162</v>
      </c>
      <c r="M32" s="9" t="s">
        <v>52</v>
      </c>
      <c r="N32" s="11" t="s">
        <v>163</v>
      </c>
      <c r="O32" s="9" t="s">
        <v>54</v>
      </c>
      <c r="P32" s="11" t="s">
        <v>164</v>
      </c>
      <c r="Q32" s="9" t="s">
        <v>56</v>
      </c>
      <c r="R32" s="11" t="s">
        <v>33</v>
      </c>
      <c r="S32" s="9" t="s">
        <v>34</v>
      </c>
      <c r="T32" s="9" t="s">
        <v>34</v>
      </c>
      <c r="U32" s="9" t="s">
        <v>42</v>
      </c>
      <c r="V32" s="9" t="s">
        <v>43</v>
      </c>
      <c r="W32" s="9" t="s">
        <v>44</v>
      </c>
      <c r="X32" s="9" t="s">
        <v>34</v>
      </c>
      <c r="Y32" s="40" t="s">
        <v>165</v>
      </c>
      <c r="Z32" s="43">
        <f>_xlfn.XLOOKUP(A32,Data!A29:A731,Data!C29:C731)</f>
        <v>2025</v>
      </c>
      <c r="AA32" s="43" t="str">
        <f>_xlfn.XLOOKUP(A32,Data!A29:A731,Data!E29:E731)</f>
        <v>Article</v>
      </c>
    </row>
    <row r="33" spans="1:27" ht="15.75" customHeight="1" x14ac:dyDescent="0.3">
      <c r="A33" s="15" t="s">
        <v>166</v>
      </c>
      <c r="B33" s="19" t="s">
        <v>122</v>
      </c>
      <c r="C33" s="15" t="s">
        <v>123</v>
      </c>
      <c r="D33" s="20" t="s">
        <v>124</v>
      </c>
      <c r="E33" s="21" t="s">
        <v>125</v>
      </c>
      <c r="F33" s="20"/>
      <c r="G33" s="20" t="s">
        <v>33</v>
      </c>
      <c r="H33" s="15" t="s">
        <v>42</v>
      </c>
      <c r="I33" s="20" t="s">
        <v>167</v>
      </c>
      <c r="J33" s="15" t="s">
        <v>35</v>
      </c>
      <c r="K33" s="15" t="s">
        <v>36</v>
      </c>
      <c r="L33" s="20" t="s">
        <v>168</v>
      </c>
      <c r="M33" s="15" t="s">
        <v>113</v>
      </c>
      <c r="N33" s="20" t="s">
        <v>169</v>
      </c>
      <c r="O33" s="15" t="s">
        <v>170</v>
      </c>
      <c r="P33" s="20" t="s">
        <v>55</v>
      </c>
      <c r="Q33" s="15" t="s">
        <v>34</v>
      </c>
      <c r="R33" s="20" t="s">
        <v>33</v>
      </c>
      <c r="S33" s="15" t="s">
        <v>34</v>
      </c>
      <c r="T33" s="15" t="s">
        <v>34</v>
      </c>
      <c r="U33" s="15" t="s">
        <v>42</v>
      </c>
      <c r="V33" s="15" t="s">
        <v>62</v>
      </c>
      <c r="W33" s="15" t="s">
        <v>63</v>
      </c>
      <c r="X33" s="15" t="s">
        <v>34</v>
      </c>
      <c r="Y33" s="42" t="s">
        <v>108</v>
      </c>
      <c r="Z33" s="43">
        <f>_xlfn.XLOOKUP(A33,Data!A30:A732,Data!C30:C732)</f>
        <v>2018</v>
      </c>
      <c r="AA33" s="43" t="str">
        <f>_xlfn.XLOOKUP(A33,Data!A30:A732,Data!E30:E732)</f>
        <v>Article</v>
      </c>
    </row>
    <row r="34" spans="1:27" ht="15.75" customHeight="1" x14ac:dyDescent="0.3">
      <c r="A34" s="9" t="s">
        <v>171</v>
      </c>
      <c r="B34" s="10" t="s">
        <v>31</v>
      </c>
      <c r="C34" s="9"/>
      <c r="D34" s="11"/>
      <c r="E34" s="12" t="s">
        <v>32</v>
      </c>
      <c r="F34" s="11"/>
      <c r="G34" s="11" t="s">
        <v>172</v>
      </c>
      <c r="H34" s="9" t="s">
        <v>34</v>
      </c>
      <c r="I34" s="11"/>
      <c r="J34" s="9" t="s">
        <v>83</v>
      </c>
      <c r="K34" s="9" t="s">
        <v>36</v>
      </c>
      <c r="L34" s="11" t="s">
        <v>33</v>
      </c>
      <c r="M34" s="9" t="s">
        <v>52</v>
      </c>
      <c r="N34" s="11" t="s">
        <v>33</v>
      </c>
      <c r="O34" s="9" t="s">
        <v>60</v>
      </c>
      <c r="P34" s="11" t="s">
        <v>41</v>
      </c>
      <c r="Q34" s="9" t="s">
        <v>56</v>
      </c>
      <c r="R34" s="11" t="s">
        <v>33</v>
      </c>
      <c r="S34" s="9" t="s">
        <v>34</v>
      </c>
      <c r="T34" s="9" t="s">
        <v>34</v>
      </c>
      <c r="U34" s="9" t="s">
        <v>42</v>
      </c>
      <c r="V34" s="9" t="s">
        <v>62</v>
      </c>
      <c r="W34" s="9" t="s">
        <v>63</v>
      </c>
      <c r="X34" s="9" t="s">
        <v>34</v>
      </c>
      <c r="Y34" s="40" t="s">
        <v>173</v>
      </c>
      <c r="Z34" s="43">
        <f>_xlfn.XLOOKUP(A34,Data!A31:A733,Data!C31:C733)</f>
        <v>2016</v>
      </c>
      <c r="AA34" s="43" t="str">
        <f>_xlfn.XLOOKUP(A34,Data!A31:A733,Data!E31:E733)</f>
        <v>Article</v>
      </c>
    </row>
    <row r="35" spans="1:27" ht="15.75" customHeight="1" x14ac:dyDescent="0.3">
      <c r="A35" s="13" t="s">
        <v>174</v>
      </c>
      <c r="B35" s="10" t="s">
        <v>31</v>
      </c>
      <c r="C35" s="13"/>
      <c r="D35" s="14"/>
      <c r="E35" s="9" t="s">
        <v>70</v>
      </c>
      <c r="F35" s="14"/>
      <c r="G35" s="14" t="s">
        <v>33</v>
      </c>
      <c r="H35" s="13" t="s">
        <v>34</v>
      </c>
      <c r="I35" s="14"/>
      <c r="J35" s="13" t="s">
        <v>35</v>
      </c>
      <c r="K35" s="13" t="s">
        <v>42</v>
      </c>
      <c r="L35" s="14" t="s">
        <v>175</v>
      </c>
      <c r="M35" s="13" t="s">
        <v>52</v>
      </c>
      <c r="N35" s="14" t="s">
        <v>176</v>
      </c>
      <c r="O35" s="13" t="s">
        <v>54</v>
      </c>
      <c r="P35" s="14" t="s">
        <v>60</v>
      </c>
      <c r="Q35" s="13" t="s">
        <v>34</v>
      </c>
      <c r="R35" s="14" t="s">
        <v>33</v>
      </c>
      <c r="S35" s="13" t="s">
        <v>34</v>
      </c>
      <c r="T35" s="13" t="s">
        <v>34</v>
      </c>
      <c r="U35" s="13" t="s">
        <v>42</v>
      </c>
      <c r="V35" s="13" t="s">
        <v>62</v>
      </c>
      <c r="W35" s="13" t="s">
        <v>63</v>
      </c>
      <c r="X35" s="13" t="s">
        <v>34</v>
      </c>
      <c r="Y35" s="41" t="s">
        <v>68</v>
      </c>
      <c r="Z35" s="43">
        <f>_xlfn.XLOOKUP(A35,Data!A32:A734,Data!C32:C734)</f>
        <v>2021</v>
      </c>
      <c r="AA35" s="43" t="str">
        <f>_xlfn.XLOOKUP(A35,Data!A32:A734,Data!E32:E734)</f>
        <v>Article</v>
      </c>
    </row>
    <row r="36" spans="1:27" ht="15.75" customHeight="1" x14ac:dyDescent="0.3">
      <c r="A36" s="9" t="s">
        <v>177</v>
      </c>
      <c r="B36" s="10" t="s">
        <v>31</v>
      </c>
      <c r="C36" s="9"/>
      <c r="D36" s="11"/>
      <c r="E36" s="12" t="s">
        <v>32</v>
      </c>
      <c r="F36" s="11"/>
      <c r="G36" s="11" t="s">
        <v>33</v>
      </c>
      <c r="H36" s="9" t="s">
        <v>34</v>
      </c>
      <c r="I36" s="11"/>
      <c r="J36" s="9" t="s">
        <v>35</v>
      </c>
      <c r="K36" s="9" t="s">
        <v>42</v>
      </c>
      <c r="L36" s="11" t="s">
        <v>178</v>
      </c>
      <c r="M36" s="9" t="s">
        <v>52</v>
      </c>
      <c r="N36" s="11" t="s">
        <v>136</v>
      </c>
      <c r="O36" s="9" t="s">
        <v>40</v>
      </c>
      <c r="P36" s="11" t="s">
        <v>107</v>
      </c>
      <c r="Q36" s="9" t="s">
        <v>34</v>
      </c>
      <c r="R36" s="11" t="s">
        <v>33</v>
      </c>
      <c r="S36" s="9" t="s">
        <v>34</v>
      </c>
      <c r="T36" s="9" t="s">
        <v>34</v>
      </c>
      <c r="U36" s="9" t="s">
        <v>34</v>
      </c>
      <c r="V36" s="9" t="s">
        <v>62</v>
      </c>
      <c r="W36" s="9" t="s">
        <v>63</v>
      </c>
      <c r="X36" s="9" t="s">
        <v>34</v>
      </c>
      <c r="Y36" s="40" t="s">
        <v>86</v>
      </c>
      <c r="Z36" s="43">
        <f>_xlfn.XLOOKUP(A36,Data!A33:A735,Data!C33:C735)</f>
        <v>2017</v>
      </c>
      <c r="AA36" s="43" t="str">
        <f>_xlfn.XLOOKUP(A36,Data!A33:A735,Data!E33:E735)</f>
        <v>Article</v>
      </c>
    </row>
    <row r="37" spans="1:27" ht="15.75" customHeight="1" x14ac:dyDescent="0.3">
      <c r="A37" s="13" t="s">
        <v>179</v>
      </c>
      <c r="B37" s="10" t="s">
        <v>31</v>
      </c>
      <c r="C37" s="13"/>
      <c r="D37" s="14"/>
      <c r="E37" s="9" t="s">
        <v>70</v>
      </c>
      <c r="F37" s="14"/>
      <c r="G37" s="14" t="s">
        <v>33</v>
      </c>
      <c r="H37" s="13" t="s">
        <v>34</v>
      </c>
      <c r="I37" s="14"/>
      <c r="J37" s="13" t="s">
        <v>35</v>
      </c>
      <c r="K37" s="13" t="s">
        <v>42</v>
      </c>
      <c r="L37" s="14" t="s">
        <v>180</v>
      </c>
      <c r="M37" s="13" t="s">
        <v>52</v>
      </c>
      <c r="N37" s="14" t="s">
        <v>59</v>
      </c>
      <c r="O37" s="13" t="s">
        <v>40</v>
      </c>
      <c r="P37" s="14" t="s">
        <v>88</v>
      </c>
      <c r="Q37" s="13" t="s">
        <v>56</v>
      </c>
      <c r="R37" s="14" t="s">
        <v>181</v>
      </c>
      <c r="S37" s="13" t="s">
        <v>34</v>
      </c>
      <c r="T37" s="13" t="s">
        <v>34</v>
      </c>
      <c r="U37" s="13" t="s">
        <v>42</v>
      </c>
      <c r="V37" s="13" t="s">
        <v>43</v>
      </c>
      <c r="W37" s="13" t="s">
        <v>44</v>
      </c>
      <c r="X37" s="13" t="s">
        <v>34</v>
      </c>
      <c r="Y37" s="41" t="s">
        <v>45</v>
      </c>
      <c r="Z37" s="43">
        <f>_xlfn.XLOOKUP(A37,Data!A34:A736,Data!C34:C736)</f>
        <v>2022</v>
      </c>
      <c r="AA37" s="43" t="str">
        <f>_xlfn.XLOOKUP(A37,Data!A34:A736,Data!E34:E736)</f>
        <v>Article</v>
      </c>
    </row>
    <row r="38" spans="1:27" ht="15.75" customHeight="1" x14ac:dyDescent="0.3">
      <c r="A38" s="9" t="s">
        <v>182</v>
      </c>
      <c r="B38" s="10" t="s">
        <v>31</v>
      </c>
      <c r="C38" s="9"/>
      <c r="D38" s="11"/>
      <c r="E38" s="12" t="s">
        <v>32</v>
      </c>
      <c r="F38" s="11"/>
      <c r="G38" s="11" t="s">
        <v>33</v>
      </c>
      <c r="H38" s="9" t="s">
        <v>42</v>
      </c>
      <c r="I38" s="11" t="s">
        <v>183</v>
      </c>
      <c r="J38" s="9" t="s">
        <v>35</v>
      </c>
      <c r="K38" s="9" t="s">
        <v>36</v>
      </c>
      <c r="L38" s="11" t="s">
        <v>184</v>
      </c>
      <c r="M38" s="9" t="s">
        <v>52</v>
      </c>
      <c r="N38" s="11" t="s">
        <v>76</v>
      </c>
      <c r="O38" s="9" t="s">
        <v>60</v>
      </c>
      <c r="P38" s="11" t="s">
        <v>107</v>
      </c>
      <c r="Q38" s="9" t="s">
        <v>34</v>
      </c>
      <c r="R38" s="11" t="s">
        <v>33</v>
      </c>
      <c r="S38" s="9" t="s">
        <v>34</v>
      </c>
      <c r="T38" s="9" t="s">
        <v>34</v>
      </c>
      <c r="U38" s="9" t="s">
        <v>42</v>
      </c>
      <c r="V38" s="9" t="s">
        <v>43</v>
      </c>
      <c r="W38" s="9" t="s">
        <v>44</v>
      </c>
      <c r="X38" s="9" t="s">
        <v>34</v>
      </c>
      <c r="Y38" s="40" t="s">
        <v>165</v>
      </c>
      <c r="Z38" s="43">
        <f>_xlfn.XLOOKUP(A38,Data!A35:A737,Data!C35:C737)</f>
        <v>2023</v>
      </c>
      <c r="AA38" s="43" t="str">
        <f>_xlfn.XLOOKUP(A38,Data!A35:A737,Data!E35:E737)</f>
        <v>Article</v>
      </c>
    </row>
    <row r="39" spans="1:27" ht="15.75" customHeight="1" x14ac:dyDescent="0.3">
      <c r="A39" s="13" t="s">
        <v>185</v>
      </c>
      <c r="B39" s="10" t="s">
        <v>31</v>
      </c>
      <c r="C39" s="13"/>
      <c r="D39" s="14"/>
      <c r="E39" s="12" t="s">
        <v>32</v>
      </c>
      <c r="F39" s="14"/>
      <c r="G39" s="14" t="s">
        <v>33</v>
      </c>
      <c r="H39" s="13" t="s">
        <v>42</v>
      </c>
      <c r="I39" s="14" t="s">
        <v>78</v>
      </c>
      <c r="J39" s="13" t="s">
        <v>35</v>
      </c>
      <c r="K39" s="13" t="s">
        <v>36</v>
      </c>
      <c r="L39" s="14" t="s">
        <v>186</v>
      </c>
      <c r="M39" s="13" t="s">
        <v>52</v>
      </c>
      <c r="N39" s="14" t="s">
        <v>33</v>
      </c>
      <c r="O39" s="13" t="s">
        <v>40</v>
      </c>
      <c r="P39" s="14" t="s">
        <v>60</v>
      </c>
      <c r="Q39" s="13" t="s">
        <v>34</v>
      </c>
      <c r="R39" s="14" t="s">
        <v>33</v>
      </c>
      <c r="S39" s="13" t="s">
        <v>34</v>
      </c>
      <c r="T39" s="13" t="s">
        <v>34</v>
      </c>
      <c r="U39" s="13" t="s">
        <v>42</v>
      </c>
      <c r="V39" s="13" t="s">
        <v>43</v>
      </c>
      <c r="W39" s="13" t="s">
        <v>44</v>
      </c>
      <c r="X39" s="13" t="s">
        <v>34</v>
      </c>
      <c r="Y39" s="41" t="s">
        <v>45</v>
      </c>
      <c r="Z39" s="43">
        <f>_xlfn.XLOOKUP(A39,Data!A36:A738,Data!C36:C738)</f>
        <v>2018</v>
      </c>
      <c r="AA39" s="43" t="str">
        <f>_xlfn.XLOOKUP(A39,Data!A36:A738,Data!E36:E738)</f>
        <v>Article</v>
      </c>
    </row>
    <row r="40" spans="1:27" ht="15.75" customHeight="1" x14ac:dyDescent="0.3">
      <c r="A40" s="9" t="s">
        <v>187</v>
      </c>
      <c r="B40" s="10" t="s">
        <v>31</v>
      </c>
      <c r="C40" s="9"/>
      <c r="D40" s="11"/>
      <c r="E40" s="9" t="s">
        <v>70</v>
      </c>
      <c r="F40" s="11"/>
      <c r="G40" s="11" t="s">
        <v>33</v>
      </c>
      <c r="H40" s="9" t="s">
        <v>34</v>
      </c>
      <c r="I40" s="11"/>
      <c r="J40" s="9" t="s">
        <v>35</v>
      </c>
      <c r="K40" s="9" t="s">
        <v>36</v>
      </c>
      <c r="L40" s="11" t="s">
        <v>188</v>
      </c>
      <c r="M40" s="9" t="s">
        <v>52</v>
      </c>
      <c r="N40" s="11" t="s">
        <v>59</v>
      </c>
      <c r="O40" s="9" t="s">
        <v>54</v>
      </c>
      <c r="P40" s="11" t="s">
        <v>60</v>
      </c>
      <c r="Q40" s="9" t="s">
        <v>34</v>
      </c>
      <c r="R40" s="11" t="s">
        <v>33</v>
      </c>
      <c r="S40" s="9" t="s">
        <v>34</v>
      </c>
      <c r="T40" s="9" t="s">
        <v>34</v>
      </c>
      <c r="U40" s="9" t="s">
        <v>42</v>
      </c>
      <c r="V40" s="9" t="s">
        <v>43</v>
      </c>
      <c r="W40" s="9" t="s">
        <v>44</v>
      </c>
      <c r="X40" s="9" t="s">
        <v>34</v>
      </c>
      <c r="Y40" s="40" t="s">
        <v>165</v>
      </c>
      <c r="Z40" s="43">
        <f>_xlfn.XLOOKUP(A40,Data!A37:A739,Data!C37:C739)</f>
        <v>2024</v>
      </c>
      <c r="AA40" s="43" t="str">
        <f>_xlfn.XLOOKUP(A40,Data!A37:A739,Data!E37:E739)</f>
        <v>Article</v>
      </c>
    </row>
    <row r="41" spans="1:27" ht="15.75" customHeight="1" x14ac:dyDescent="0.3">
      <c r="A41" s="13" t="s">
        <v>189</v>
      </c>
      <c r="B41" s="10" t="s">
        <v>31</v>
      </c>
      <c r="C41" s="13"/>
      <c r="D41" s="14"/>
      <c r="E41" s="12" t="s">
        <v>32</v>
      </c>
      <c r="F41" s="14"/>
      <c r="G41" s="14" t="s">
        <v>33</v>
      </c>
      <c r="H41" s="13" t="s">
        <v>42</v>
      </c>
      <c r="I41" s="14" t="s">
        <v>190</v>
      </c>
      <c r="J41" s="13" t="s">
        <v>35</v>
      </c>
      <c r="K41" s="13" t="s">
        <v>36</v>
      </c>
      <c r="L41" s="14" t="s">
        <v>191</v>
      </c>
      <c r="M41" s="13" t="s">
        <v>52</v>
      </c>
      <c r="N41" s="14" t="s">
        <v>192</v>
      </c>
      <c r="O41" s="13" t="s">
        <v>40</v>
      </c>
      <c r="P41" s="14" t="s">
        <v>60</v>
      </c>
      <c r="Q41" s="13" t="s">
        <v>34</v>
      </c>
      <c r="R41" s="14" t="s">
        <v>33</v>
      </c>
      <c r="S41" s="13" t="s">
        <v>34</v>
      </c>
      <c r="T41" s="13" t="s">
        <v>34</v>
      </c>
      <c r="U41" s="13" t="s">
        <v>34</v>
      </c>
      <c r="V41" s="13" t="s">
        <v>43</v>
      </c>
      <c r="W41" s="13" t="s">
        <v>44</v>
      </c>
      <c r="X41" s="13" t="s">
        <v>34</v>
      </c>
      <c r="Y41" s="41" t="s">
        <v>45</v>
      </c>
      <c r="Z41" s="43">
        <f>_xlfn.XLOOKUP(A41,Data!A38:A740,Data!C38:C740)</f>
        <v>2025</v>
      </c>
      <c r="AA41" s="43" t="str">
        <f>_xlfn.XLOOKUP(A41,Data!A38:A740,Data!E38:E740)</f>
        <v>Article</v>
      </c>
    </row>
    <row r="42" spans="1:27" ht="15.75" customHeight="1" x14ac:dyDescent="0.3">
      <c r="A42" s="9" t="s">
        <v>193</v>
      </c>
      <c r="B42" s="10" t="s">
        <v>31</v>
      </c>
      <c r="C42" s="9"/>
      <c r="D42" s="11"/>
      <c r="E42" s="12" t="s">
        <v>32</v>
      </c>
      <c r="F42" s="11"/>
      <c r="G42" s="11" t="s">
        <v>92</v>
      </c>
      <c r="H42" s="9" t="s">
        <v>34</v>
      </c>
      <c r="I42" s="11"/>
      <c r="J42" s="9" t="s">
        <v>35</v>
      </c>
      <c r="K42" s="9" t="s">
        <v>36</v>
      </c>
      <c r="L42" s="11" t="s">
        <v>194</v>
      </c>
      <c r="M42" s="9" t="s">
        <v>52</v>
      </c>
      <c r="N42" s="11" t="s">
        <v>136</v>
      </c>
      <c r="O42" s="9" t="s">
        <v>54</v>
      </c>
      <c r="P42" s="11" t="s">
        <v>55</v>
      </c>
      <c r="Q42" s="9" t="s">
        <v>56</v>
      </c>
      <c r="R42" s="11" t="s">
        <v>33</v>
      </c>
      <c r="S42" s="9" t="s">
        <v>34</v>
      </c>
      <c r="T42" s="9" t="s">
        <v>34</v>
      </c>
      <c r="U42" s="9" t="s">
        <v>34</v>
      </c>
      <c r="V42" s="9" t="s">
        <v>43</v>
      </c>
      <c r="W42" s="9" t="s">
        <v>63</v>
      </c>
      <c r="X42" s="9" t="s">
        <v>34</v>
      </c>
      <c r="Y42" s="40" t="s">
        <v>195</v>
      </c>
      <c r="Z42" s="43">
        <f>_xlfn.XLOOKUP(A42,Data!A39:A741,Data!C39:C741)</f>
        <v>2021</v>
      </c>
      <c r="AA42" s="43" t="str">
        <f>_xlfn.XLOOKUP(A42,Data!A39:A741,Data!E39:E741)</f>
        <v>Article</v>
      </c>
    </row>
    <row r="43" spans="1:27" ht="15.75" customHeight="1" x14ac:dyDescent="0.3">
      <c r="A43" s="15" t="s">
        <v>196</v>
      </c>
      <c r="B43" s="19" t="s">
        <v>122</v>
      </c>
      <c r="C43" s="15" t="s">
        <v>123</v>
      </c>
      <c r="D43" s="20" t="s">
        <v>124</v>
      </c>
      <c r="E43" s="21" t="s">
        <v>125</v>
      </c>
      <c r="F43" s="20"/>
      <c r="G43" s="20" t="s">
        <v>33</v>
      </c>
      <c r="H43" s="15" t="s">
        <v>42</v>
      </c>
      <c r="I43" s="20" t="s">
        <v>151</v>
      </c>
      <c r="J43" s="15" t="s">
        <v>35</v>
      </c>
      <c r="K43" s="15" t="s">
        <v>36</v>
      </c>
      <c r="L43" s="20" t="s">
        <v>71</v>
      </c>
      <c r="M43" s="15" t="s">
        <v>52</v>
      </c>
      <c r="N43" s="20" t="s">
        <v>197</v>
      </c>
      <c r="O43" s="15" t="s">
        <v>40</v>
      </c>
      <c r="P43" s="20" t="s">
        <v>55</v>
      </c>
      <c r="Q43" s="15" t="s">
        <v>56</v>
      </c>
      <c r="R43" s="20" t="s">
        <v>33</v>
      </c>
      <c r="S43" s="15" t="s">
        <v>34</v>
      </c>
      <c r="T43" s="15" t="s">
        <v>34</v>
      </c>
      <c r="U43" s="15" t="s">
        <v>42</v>
      </c>
      <c r="V43" s="15" t="s">
        <v>43</v>
      </c>
      <c r="W43" s="15" t="s">
        <v>44</v>
      </c>
      <c r="X43" s="15" t="s">
        <v>34</v>
      </c>
      <c r="Y43" s="42" t="s">
        <v>45</v>
      </c>
      <c r="Z43" s="43">
        <f>_xlfn.XLOOKUP(A43,Data!A40:A742,Data!C40:C742)</f>
        <v>2015</v>
      </c>
      <c r="AA43" s="43" t="str">
        <f>_xlfn.XLOOKUP(A43,Data!A40:A742,Data!E40:E742)</f>
        <v>Article</v>
      </c>
    </row>
    <row r="44" spans="1:27" ht="15.75" customHeight="1" x14ac:dyDescent="0.3">
      <c r="A44" s="15" t="s">
        <v>198</v>
      </c>
      <c r="B44" s="19" t="s">
        <v>122</v>
      </c>
      <c r="C44" s="15" t="s">
        <v>123</v>
      </c>
      <c r="D44" s="20" t="s">
        <v>124</v>
      </c>
      <c r="E44" s="21" t="s">
        <v>125</v>
      </c>
      <c r="F44" s="20"/>
      <c r="G44" s="20" t="s">
        <v>33</v>
      </c>
      <c r="H44" s="15" t="s">
        <v>34</v>
      </c>
      <c r="I44" s="20"/>
      <c r="J44" s="15" t="s">
        <v>83</v>
      </c>
      <c r="K44" s="15" t="s">
        <v>36</v>
      </c>
      <c r="L44" s="20" t="s">
        <v>199</v>
      </c>
      <c r="M44" s="15" t="s">
        <v>38</v>
      </c>
      <c r="N44" s="20" t="s">
        <v>200</v>
      </c>
      <c r="O44" s="15" t="s">
        <v>40</v>
      </c>
      <c r="P44" s="20" t="s">
        <v>41</v>
      </c>
      <c r="Q44" s="15" t="s">
        <v>34</v>
      </c>
      <c r="R44" s="20" t="s">
        <v>33</v>
      </c>
      <c r="S44" s="15" t="s">
        <v>34</v>
      </c>
      <c r="T44" s="15" t="s">
        <v>34</v>
      </c>
      <c r="U44" s="15" t="s">
        <v>42</v>
      </c>
      <c r="V44" s="15" t="s">
        <v>62</v>
      </c>
      <c r="W44" s="15" t="s">
        <v>63</v>
      </c>
      <c r="X44" s="15" t="s">
        <v>34</v>
      </c>
      <c r="Y44" s="42" t="s">
        <v>173</v>
      </c>
      <c r="Z44" s="43">
        <f>_xlfn.XLOOKUP(A44,Data!A41:A743,Data!C41:C743)</f>
        <v>2025</v>
      </c>
      <c r="AA44" s="43" t="str">
        <f>_xlfn.XLOOKUP(A44,Data!A41:A743,Data!E41:E743)</f>
        <v>Article</v>
      </c>
    </row>
    <row r="45" spans="1:27" ht="15.75" customHeight="1" x14ac:dyDescent="0.3">
      <c r="A45" s="13" t="s">
        <v>201</v>
      </c>
      <c r="B45" s="10" t="s">
        <v>31</v>
      </c>
      <c r="C45" s="13"/>
      <c r="D45" s="14"/>
      <c r="E45" s="9" t="s">
        <v>70</v>
      </c>
      <c r="F45" s="14"/>
      <c r="G45" s="14" t="s">
        <v>92</v>
      </c>
      <c r="H45" s="13" t="s">
        <v>34</v>
      </c>
      <c r="I45" s="14"/>
      <c r="J45" s="13" t="s">
        <v>35</v>
      </c>
      <c r="K45" s="13" t="s">
        <v>42</v>
      </c>
      <c r="L45" s="14" t="s">
        <v>67</v>
      </c>
      <c r="M45" s="13" t="s">
        <v>52</v>
      </c>
      <c r="N45" s="14" t="s">
        <v>33</v>
      </c>
      <c r="O45" s="13" t="s">
        <v>60</v>
      </c>
      <c r="P45" s="14" t="s">
        <v>107</v>
      </c>
      <c r="Q45" s="13" t="s">
        <v>34</v>
      </c>
      <c r="R45" s="14" t="s">
        <v>33</v>
      </c>
      <c r="S45" s="13" t="s">
        <v>34</v>
      </c>
      <c r="T45" s="13" t="s">
        <v>34</v>
      </c>
      <c r="U45" s="13" t="s">
        <v>34</v>
      </c>
      <c r="V45" s="13" t="s">
        <v>62</v>
      </c>
      <c r="W45" s="13" t="s">
        <v>63</v>
      </c>
      <c r="X45" s="13" t="s">
        <v>34</v>
      </c>
      <c r="Y45" s="41" t="s">
        <v>68</v>
      </c>
      <c r="Z45" s="43">
        <f>_xlfn.XLOOKUP(A45,Data!A42:A744,Data!C42:C744)</f>
        <v>2016</v>
      </c>
      <c r="AA45" s="43" t="str">
        <f>_xlfn.XLOOKUP(A45,Data!A42:A744,Data!E42:E744)</f>
        <v>Article</v>
      </c>
    </row>
    <row r="46" spans="1:27" ht="15.75" customHeight="1" x14ac:dyDescent="0.3">
      <c r="A46" s="15" t="s">
        <v>202</v>
      </c>
      <c r="B46" s="19" t="s">
        <v>122</v>
      </c>
      <c r="C46" s="15" t="s">
        <v>123</v>
      </c>
      <c r="D46" s="20" t="s">
        <v>124</v>
      </c>
      <c r="E46" s="21" t="s">
        <v>125</v>
      </c>
      <c r="F46" s="20"/>
      <c r="G46" s="20" t="s">
        <v>33</v>
      </c>
      <c r="H46" s="15" t="s">
        <v>34</v>
      </c>
      <c r="I46" s="20"/>
      <c r="J46" s="15" t="s">
        <v>35</v>
      </c>
      <c r="K46" s="15" t="s">
        <v>36</v>
      </c>
      <c r="L46" s="20" t="s">
        <v>118</v>
      </c>
      <c r="M46" s="15" t="s">
        <v>52</v>
      </c>
      <c r="N46" s="20" t="s">
        <v>72</v>
      </c>
      <c r="O46" s="15" t="s">
        <v>54</v>
      </c>
      <c r="P46" s="20" t="s">
        <v>60</v>
      </c>
      <c r="Q46" s="15" t="s">
        <v>56</v>
      </c>
      <c r="R46" s="20" t="s">
        <v>33</v>
      </c>
      <c r="S46" s="15" t="s">
        <v>34</v>
      </c>
      <c r="T46" s="15" t="s">
        <v>34</v>
      </c>
      <c r="U46" s="15" t="s">
        <v>34</v>
      </c>
      <c r="V46" s="15" t="s">
        <v>43</v>
      </c>
      <c r="W46" s="15" t="s">
        <v>44</v>
      </c>
      <c r="X46" s="15" t="s">
        <v>34</v>
      </c>
      <c r="Y46" s="42" t="s">
        <v>45</v>
      </c>
      <c r="Z46" s="43">
        <f>_xlfn.XLOOKUP(A46,Data!A43:A745,Data!C43:C745)</f>
        <v>2021</v>
      </c>
      <c r="AA46" s="43" t="str">
        <f>_xlfn.XLOOKUP(A46,Data!A43:A745,Data!E43:E745)</f>
        <v>Article</v>
      </c>
    </row>
    <row r="47" spans="1:27" ht="15.75" customHeight="1" x14ac:dyDescent="0.3">
      <c r="A47" s="15" t="s">
        <v>203</v>
      </c>
      <c r="B47" s="19" t="s">
        <v>122</v>
      </c>
      <c r="C47" s="15" t="s">
        <v>123</v>
      </c>
      <c r="D47" s="20" t="s">
        <v>124</v>
      </c>
      <c r="E47" s="21" t="s">
        <v>125</v>
      </c>
      <c r="F47" s="20"/>
      <c r="G47" s="20" t="s">
        <v>92</v>
      </c>
      <c r="H47" s="15" t="s">
        <v>34</v>
      </c>
      <c r="I47" s="20"/>
      <c r="J47" s="15" t="s">
        <v>35</v>
      </c>
      <c r="K47" s="15" t="s">
        <v>42</v>
      </c>
      <c r="L47" s="20" t="s">
        <v>75</v>
      </c>
      <c r="M47" s="15" t="s">
        <v>52</v>
      </c>
      <c r="N47" s="20" t="s">
        <v>204</v>
      </c>
      <c r="O47" s="15" t="s">
        <v>40</v>
      </c>
      <c r="P47" s="20" t="s">
        <v>41</v>
      </c>
      <c r="Q47" s="15" t="s">
        <v>34</v>
      </c>
      <c r="R47" s="20" t="s">
        <v>33</v>
      </c>
      <c r="S47" s="15" t="s">
        <v>34</v>
      </c>
      <c r="T47" s="15" t="s">
        <v>34</v>
      </c>
      <c r="U47" s="15" t="s">
        <v>42</v>
      </c>
      <c r="V47" s="15" t="s">
        <v>43</v>
      </c>
      <c r="W47" s="15" t="s">
        <v>63</v>
      </c>
      <c r="X47" s="15" t="s">
        <v>34</v>
      </c>
      <c r="Y47" s="42" t="s">
        <v>116</v>
      </c>
      <c r="Z47" s="43">
        <f>_xlfn.XLOOKUP(A47,Data!A44:A746,Data!C44:C746)</f>
        <v>2018</v>
      </c>
      <c r="AA47" s="43" t="str">
        <f>_xlfn.XLOOKUP(A47,Data!A44:A746,Data!E44:E746)</f>
        <v>Article</v>
      </c>
    </row>
    <row r="48" spans="1:27" ht="15.75" customHeight="1" x14ac:dyDescent="0.3">
      <c r="A48" s="9" t="s">
        <v>205</v>
      </c>
      <c r="B48" s="10" t="s">
        <v>31</v>
      </c>
      <c r="C48" s="9"/>
      <c r="D48" s="11"/>
      <c r="E48" s="12" t="s">
        <v>32</v>
      </c>
      <c r="F48" s="11"/>
      <c r="G48" s="11" t="s">
        <v>33</v>
      </c>
      <c r="H48" s="9" t="s">
        <v>42</v>
      </c>
      <c r="I48" s="11" t="s">
        <v>206</v>
      </c>
      <c r="J48" s="9" t="s">
        <v>35</v>
      </c>
      <c r="K48" s="9" t="s">
        <v>36</v>
      </c>
      <c r="L48" s="11" t="s">
        <v>75</v>
      </c>
      <c r="M48" s="9" t="s">
        <v>113</v>
      </c>
      <c r="N48" s="11" t="s">
        <v>207</v>
      </c>
      <c r="O48" s="9" t="s">
        <v>40</v>
      </c>
      <c r="P48" s="11" t="s">
        <v>55</v>
      </c>
      <c r="Q48" s="9" t="s">
        <v>56</v>
      </c>
      <c r="R48" s="11" t="s">
        <v>33</v>
      </c>
      <c r="S48" s="9" t="s">
        <v>34</v>
      </c>
      <c r="T48" s="9" t="s">
        <v>34</v>
      </c>
      <c r="U48" s="9" t="s">
        <v>34</v>
      </c>
      <c r="V48" s="9" t="s">
        <v>43</v>
      </c>
      <c r="W48" s="9" t="s">
        <v>63</v>
      </c>
      <c r="X48" s="9" t="s">
        <v>34</v>
      </c>
      <c r="Y48" s="40" t="s">
        <v>116</v>
      </c>
      <c r="Z48" s="43">
        <f>_xlfn.XLOOKUP(A48,Data!A45:A747,Data!C45:C747)</f>
        <v>2021</v>
      </c>
      <c r="AA48" s="43" t="str">
        <f>_xlfn.XLOOKUP(A48,Data!A45:A747,Data!E45:E747)</f>
        <v>Article</v>
      </c>
    </row>
    <row r="49" spans="1:27" ht="15.75" customHeight="1" x14ac:dyDescent="0.3">
      <c r="A49" s="13" t="s">
        <v>208</v>
      </c>
      <c r="B49" s="10" t="s">
        <v>31</v>
      </c>
      <c r="C49" s="13"/>
      <c r="D49" s="14"/>
      <c r="E49" s="16" t="s">
        <v>161</v>
      </c>
      <c r="F49" s="14"/>
      <c r="G49" s="14" t="s">
        <v>33</v>
      </c>
      <c r="H49" s="13" t="s">
        <v>34</v>
      </c>
      <c r="I49" s="14"/>
      <c r="J49" s="13" t="s">
        <v>35</v>
      </c>
      <c r="K49" s="13" t="s">
        <v>42</v>
      </c>
      <c r="L49" s="14" t="s">
        <v>178</v>
      </c>
      <c r="M49" s="13" t="s">
        <v>38</v>
      </c>
      <c r="N49" s="14" t="s">
        <v>33</v>
      </c>
      <c r="O49" s="13" t="s">
        <v>33</v>
      </c>
      <c r="P49" s="14" t="s">
        <v>60</v>
      </c>
      <c r="Q49" s="13" t="s">
        <v>34</v>
      </c>
      <c r="R49" s="14" t="s">
        <v>33</v>
      </c>
      <c r="S49" s="13" t="s">
        <v>34</v>
      </c>
      <c r="T49" s="13" t="s">
        <v>34</v>
      </c>
      <c r="U49" s="13" t="s">
        <v>42</v>
      </c>
      <c r="V49" s="13" t="s">
        <v>62</v>
      </c>
      <c r="W49" s="13" t="s">
        <v>63</v>
      </c>
      <c r="X49" s="13" t="s">
        <v>34</v>
      </c>
      <c r="Y49" s="41" t="s">
        <v>68</v>
      </c>
      <c r="Z49" s="43">
        <f>_xlfn.XLOOKUP(A49,Data!A46:A748,Data!C46:C748)</f>
        <v>2025</v>
      </c>
      <c r="AA49" s="43" t="str">
        <f>_xlfn.XLOOKUP(A49,Data!A46:A748,Data!E46:E748)</f>
        <v>Article</v>
      </c>
    </row>
    <row r="50" spans="1:27" ht="15.75" customHeight="1" x14ac:dyDescent="0.3">
      <c r="A50" s="9" t="s">
        <v>209</v>
      </c>
      <c r="B50" s="10" t="s">
        <v>31</v>
      </c>
      <c r="C50" s="9"/>
      <c r="D50" s="11"/>
      <c r="E50" s="12" t="s">
        <v>32</v>
      </c>
      <c r="F50" s="11"/>
      <c r="G50" s="11" t="s">
        <v>33</v>
      </c>
      <c r="H50" s="9" t="s">
        <v>34</v>
      </c>
      <c r="I50" s="11"/>
      <c r="J50" s="9" t="s">
        <v>35</v>
      </c>
      <c r="K50" s="9" t="s">
        <v>42</v>
      </c>
      <c r="L50" s="11" t="s">
        <v>210</v>
      </c>
      <c r="M50" s="9" t="s">
        <v>52</v>
      </c>
      <c r="N50" s="11" t="s">
        <v>155</v>
      </c>
      <c r="O50" s="9" t="s">
        <v>40</v>
      </c>
      <c r="P50" s="11" t="s">
        <v>107</v>
      </c>
      <c r="Q50" s="9" t="s">
        <v>56</v>
      </c>
      <c r="R50" s="11" t="s">
        <v>33</v>
      </c>
      <c r="S50" s="9" t="s">
        <v>34</v>
      </c>
      <c r="T50" s="9" t="s">
        <v>34</v>
      </c>
      <c r="U50" s="9" t="s">
        <v>42</v>
      </c>
      <c r="V50" s="9" t="s">
        <v>62</v>
      </c>
      <c r="W50" s="9" t="s">
        <v>63</v>
      </c>
      <c r="X50" s="9" t="s">
        <v>34</v>
      </c>
      <c r="Y50" s="40" t="s">
        <v>108</v>
      </c>
      <c r="Z50" s="43">
        <f>_xlfn.XLOOKUP(A50,Data!A47:A749,Data!C47:C749)</f>
        <v>2024</v>
      </c>
      <c r="AA50" s="43" t="str">
        <f>_xlfn.XLOOKUP(A50,Data!A47:A749,Data!E47:E749)</f>
        <v>Article</v>
      </c>
    </row>
    <row r="51" spans="1:27" ht="15.75" customHeight="1" x14ac:dyDescent="0.3">
      <c r="A51" s="13" t="s">
        <v>211</v>
      </c>
      <c r="B51" s="10" t="s">
        <v>31</v>
      </c>
      <c r="C51" s="13"/>
      <c r="D51" s="14"/>
      <c r="E51" s="12" t="s">
        <v>32</v>
      </c>
      <c r="F51" s="14"/>
      <c r="G51" s="14" t="s">
        <v>33</v>
      </c>
      <c r="H51" s="13" t="s">
        <v>34</v>
      </c>
      <c r="I51" s="14"/>
      <c r="J51" s="13" t="s">
        <v>35</v>
      </c>
      <c r="K51" s="13" t="s">
        <v>36</v>
      </c>
      <c r="L51" s="14" t="s">
        <v>212</v>
      </c>
      <c r="M51" s="13" t="s">
        <v>52</v>
      </c>
      <c r="N51" s="14" t="s">
        <v>155</v>
      </c>
      <c r="O51" s="13" t="s">
        <v>60</v>
      </c>
      <c r="P51" s="14" t="s">
        <v>60</v>
      </c>
      <c r="Q51" s="13" t="s">
        <v>56</v>
      </c>
      <c r="R51" s="14" t="s">
        <v>181</v>
      </c>
      <c r="S51" s="13" t="s">
        <v>34</v>
      </c>
      <c r="T51" s="13" t="s">
        <v>34</v>
      </c>
      <c r="U51" s="13" t="s">
        <v>42</v>
      </c>
      <c r="V51" s="13" t="s">
        <v>62</v>
      </c>
      <c r="W51" s="13" t="s">
        <v>63</v>
      </c>
      <c r="X51" s="13" t="s">
        <v>34</v>
      </c>
      <c r="Y51" s="41" t="s">
        <v>86</v>
      </c>
      <c r="Z51" s="43">
        <f>_xlfn.XLOOKUP(A51,Data!A48:A750,Data!C48:C750)</f>
        <v>2024</v>
      </c>
      <c r="AA51" s="43" t="str">
        <f>_xlfn.XLOOKUP(A51,Data!A48:A750,Data!E48:E750)</f>
        <v>Article</v>
      </c>
    </row>
    <row r="52" spans="1:27" ht="15.75" customHeight="1" x14ac:dyDescent="0.3">
      <c r="A52" s="9" t="s">
        <v>213</v>
      </c>
      <c r="B52" s="10" t="s">
        <v>31</v>
      </c>
      <c r="C52" s="9"/>
      <c r="D52" s="11"/>
      <c r="E52" s="9" t="s">
        <v>70</v>
      </c>
      <c r="F52" s="11"/>
      <c r="G52" s="11" t="s">
        <v>33</v>
      </c>
      <c r="H52" s="9" t="s">
        <v>34</v>
      </c>
      <c r="I52" s="11"/>
      <c r="J52" s="9" t="s">
        <v>35</v>
      </c>
      <c r="K52" s="9" t="s">
        <v>36</v>
      </c>
      <c r="L52" s="11" t="s">
        <v>214</v>
      </c>
      <c r="M52" s="9" t="s">
        <v>38</v>
      </c>
      <c r="N52" s="11" t="s">
        <v>33</v>
      </c>
      <c r="O52" s="9" t="s">
        <v>40</v>
      </c>
      <c r="P52" s="11" t="s">
        <v>41</v>
      </c>
      <c r="Q52" s="9" t="s">
        <v>34</v>
      </c>
      <c r="R52" s="11" t="s">
        <v>33</v>
      </c>
      <c r="S52" s="9" t="s">
        <v>34</v>
      </c>
      <c r="T52" s="9" t="s">
        <v>34</v>
      </c>
      <c r="U52" s="9" t="s">
        <v>42</v>
      </c>
      <c r="V52" s="9" t="s">
        <v>43</v>
      </c>
      <c r="W52" s="9" t="s">
        <v>44</v>
      </c>
      <c r="X52" s="9" t="s">
        <v>34</v>
      </c>
      <c r="Y52" s="40" t="s">
        <v>165</v>
      </c>
      <c r="Z52" s="43">
        <f>_xlfn.XLOOKUP(A52,Data!A49:A751,Data!C49:C751)</f>
        <v>2021</v>
      </c>
      <c r="AA52" s="43" t="str">
        <f>_xlfn.XLOOKUP(A52,Data!A49:A751,Data!E49:E751)</f>
        <v>Article</v>
      </c>
    </row>
    <row r="53" spans="1:27" ht="15.75" customHeight="1" x14ac:dyDescent="0.3">
      <c r="A53" s="13" t="s">
        <v>215</v>
      </c>
      <c r="B53" s="10" t="s">
        <v>31</v>
      </c>
      <c r="C53" s="13"/>
      <c r="D53" s="14"/>
      <c r="E53" s="12" t="s">
        <v>32</v>
      </c>
      <c r="F53" s="14"/>
      <c r="G53" s="14" t="s">
        <v>33</v>
      </c>
      <c r="H53" s="13" t="s">
        <v>34</v>
      </c>
      <c r="I53" s="14"/>
      <c r="J53" s="13" t="s">
        <v>35</v>
      </c>
      <c r="K53" s="13" t="s">
        <v>36</v>
      </c>
      <c r="L53" s="14" t="s">
        <v>216</v>
      </c>
      <c r="M53" s="13" t="s">
        <v>52</v>
      </c>
      <c r="N53" s="14" t="s">
        <v>33</v>
      </c>
      <c r="O53" s="13" t="s">
        <v>33</v>
      </c>
      <c r="P53" s="14" t="s">
        <v>107</v>
      </c>
      <c r="Q53" s="13" t="s">
        <v>34</v>
      </c>
      <c r="R53" s="14" t="s">
        <v>33</v>
      </c>
      <c r="S53" s="13" t="s">
        <v>34</v>
      </c>
      <c r="T53" s="13" t="s">
        <v>34</v>
      </c>
      <c r="U53" s="13" t="s">
        <v>34</v>
      </c>
      <c r="V53" s="13" t="s">
        <v>62</v>
      </c>
      <c r="W53" s="13" t="s">
        <v>63</v>
      </c>
      <c r="X53" s="13" t="s">
        <v>34</v>
      </c>
      <c r="Y53" s="41" t="s">
        <v>217</v>
      </c>
      <c r="Z53" s="43">
        <f>_xlfn.XLOOKUP(A53,Data!A50:A752,Data!C50:C752)</f>
        <v>2025</v>
      </c>
      <c r="AA53" s="43" t="str">
        <f>_xlfn.XLOOKUP(A53,Data!A50:A752,Data!E50:E752)</f>
        <v>Article</v>
      </c>
    </row>
    <row r="54" spans="1:27" ht="15.75" customHeight="1" x14ac:dyDescent="0.3">
      <c r="A54" s="9" t="s">
        <v>218</v>
      </c>
      <c r="B54" s="10" t="s">
        <v>31</v>
      </c>
      <c r="C54" s="9"/>
      <c r="D54" s="11"/>
      <c r="E54" s="12" t="s">
        <v>32</v>
      </c>
      <c r="F54" s="11"/>
      <c r="G54" s="11" t="s">
        <v>33</v>
      </c>
      <c r="H54" s="9" t="s">
        <v>34</v>
      </c>
      <c r="I54" s="11"/>
      <c r="J54" s="9" t="s">
        <v>35</v>
      </c>
      <c r="K54" s="9" t="s">
        <v>34</v>
      </c>
      <c r="L54" s="11" t="s">
        <v>33</v>
      </c>
      <c r="M54" s="9" t="s">
        <v>52</v>
      </c>
      <c r="N54" s="11" t="s">
        <v>33</v>
      </c>
      <c r="O54" s="9" t="s">
        <v>54</v>
      </c>
      <c r="P54" s="11" t="s">
        <v>88</v>
      </c>
      <c r="Q54" s="9" t="s">
        <v>56</v>
      </c>
      <c r="R54" s="11" t="s">
        <v>181</v>
      </c>
      <c r="S54" s="9" t="s">
        <v>34</v>
      </c>
      <c r="T54" s="9" t="s">
        <v>34</v>
      </c>
      <c r="U54" s="9" t="s">
        <v>34</v>
      </c>
      <c r="V54" s="9" t="s">
        <v>62</v>
      </c>
      <c r="W54" s="9" t="s">
        <v>63</v>
      </c>
      <c r="X54" s="9" t="s">
        <v>34</v>
      </c>
      <c r="Y54" s="40" t="s">
        <v>219</v>
      </c>
      <c r="Z54" s="43">
        <f>_xlfn.XLOOKUP(A54,Data!A51:A753,Data!C51:C753)</f>
        <v>2023</v>
      </c>
      <c r="AA54" s="43" t="str">
        <f>_xlfn.XLOOKUP(A54,Data!A51:A753,Data!E51:E753)</f>
        <v>Article</v>
      </c>
    </row>
    <row r="55" spans="1:27" ht="15.75" customHeight="1" x14ac:dyDescent="0.3">
      <c r="A55" s="13" t="s">
        <v>220</v>
      </c>
      <c r="B55" s="10" t="s">
        <v>31</v>
      </c>
      <c r="C55" s="13"/>
      <c r="D55" s="14"/>
      <c r="E55" s="12" t="s">
        <v>32</v>
      </c>
      <c r="F55" s="14"/>
      <c r="G55" s="14" t="s">
        <v>33</v>
      </c>
      <c r="H55" s="13" t="s">
        <v>42</v>
      </c>
      <c r="I55" s="14" t="s">
        <v>190</v>
      </c>
      <c r="J55" s="13" t="s">
        <v>35</v>
      </c>
      <c r="K55" s="13" t="s">
        <v>36</v>
      </c>
      <c r="L55" s="14" t="s">
        <v>71</v>
      </c>
      <c r="M55" s="13" t="s">
        <v>52</v>
      </c>
      <c r="N55" s="14" t="s">
        <v>72</v>
      </c>
      <c r="O55" s="13" t="s">
        <v>33</v>
      </c>
      <c r="P55" s="14" t="s">
        <v>60</v>
      </c>
      <c r="Q55" s="13" t="s">
        <v>34</v>
      </c>
      <c r="R55" s="14" t="s">
        <v>33</v>
      </c>
      <c r="S55" s="13" t="s">
        <v>34</v>
      </c>
      <c r="T55" s="13" t="s">
        <v>34</v>
      </c>
      <c r="U55" s="13" t="s">
        <v>42</v>
      </c>
      <c r="V55" s="13" t="s">
        <v>43</v>
      </c>
      <c r="W55" s="13" t="s">
        <v>44</v>
      </c>
      <c r="X55" s="13" t="s">
        <v>34</v>
      </c>
      <c r="Y55" s="41" t="s">
        <v>45</v>
      </c>
      <c r="Z55" s="43">
        <f>_xlfn.XLOOKUP(A55,Data!A52:A754,Data!C52:C754)</f>
        <v>2024</v>
      </c>
      <c r="AA55" s="43" t="str">
        <f>_xlfn.XLOOKUP(A55,Data!A52:A754,Data!E52:E754)</f>
        <v>Article</v>
      </c>
    </row>
    <row r="56" spans="1:27" ht="15.75" customHeight="1" x14ac:dyDescent="0.3">
      <c r="A56" s="9" t="s">
        <v>221</v>
      </c>
      <c r="B56" s="10" t="s">
        <v>31</v>
      </c>
      <c r="C56" s="9"/>
      <c r="D56" s="11"/>
      <c r="E56" s="12" t="s">
        <v>32</v>
      </c>
      <c r="F56" s="11"/>
      <c r="G56" s="11" t="s">
        <v>33</v>
      </c>
      <c r="H56" s="9" t="s">
        <v>34</v>
      </c>
      <c r="I56" s="11"/>
      <c r="J56" s="9" t="s">
        <v>35</v>
      </c>
      <c r="K56" s="9" t="s">
        <v>34</v>
      </c>
      <c r="L56" s="11" t="s">
        <v>222</v>
      </c>
      <c r="M56" s="9" t="s">
        <v>52</v>
      </c>
      <c r="N56" s="11" t="s">
        <v>76</v>
      </c>
      <c r="O56" s="9" t="s">
        <v>40</v>
      </c>
      <c r="P56" s="11" t="s">
        <v>107</v>
      </c>
      <c r="Q56" s="9" t="s">
        <v>34</v>
      </c>
      <c r="R56" s="11" t="s">
        <v>33</v>
      </c>
      <c r="S56" s="9" t="s">
        <v>34</v>
      </c>
      <c r="T56" s="9" t="s">
        <v>34</v>
      </c>
      <c r="U56" s="9" t="s">
        <v>34</v>
      </c>
      <c r="V56" s="9" t="s">
        <v>33</v>
      </c>
      <c r="W56" s="9" t="s">
        <v>33</v>
      </c>
      <c r="X56" s="9" t="s">
        <v>34</v>
      </c>
      <c r="Y56" s="40" t="s">
        <v>33</v>
      </c>
      <c r="Z56" s="43">
        <f>_xlfn.XLOOKUP(A56,Data!A53:A755,Data!C53:C755)</f>
        <v>2021</v>
      </c>
      <c r="AA56" s="43" t="str">
        <f>_xlfn.XLOOKUP(A56,Data!A53:A755,Data!E53:E755)</f>
        <v>Article</v>
      </c>
    </row>
    <row r="57" spans="1:27" ht="15.75" customHeight="1" x14ac:dyDescent="0.3">
      <c r="A57" s="13" t="s">
        <v>223</v>
      </c>
      <c r="B57" s="10" t="s">
        <v>31</v>
      </c>
      <c r="C57" s="13"/>
      <c r="D57" s="14"/>
      <c r="E57" s="12" t="s">
        <v>32</v>
      </c>
      <c r="F57" s="14"/>
      <c r="G57" s="14" t="s">
        <v>33</v>
      </c>
      <c r="H57" s="13" t="s">
        <v>34</v>
      </c>
      <c r="I57" s="14"/>
      <c r="J57" s="13" t="s">
        <v>35</v>
      </c>
      <c r="K57" s="13" t="s">
        <v>36</v>
      </c>
      <c r="L57" s="14" t="s">
        <v>224</v>
      </c>
      <c r="M57" s="13" t="s">
        <v>225</v>
      </c>
      <c r="N57" s="14" t="s">
        <v>226</v>
      </c>
      <c r="O57" s="13" t="s">
        <v>54</v>
      </c>
      <c r="P57" s="14" t="s">
        <v>60</v>
      </c>
      <c r="Q57" s="13" t="s">
        <v>42</v>
      </c>
      <c r="R57" s="14" t="s">
        <v>181</v>
      </c>
      <c r="S57" s="13" t="s">
        <v>34</v>
      </c>
      <c r="T57" s="13" t="s">
        <v>34</v>
      </c>
      <c r="U57" s="13" t="s">
        <v>42</v>
      </c>
      <c r="V57" s="13" t="s">
        <v>62</v>
      </c>
      <c r="W57" s="13" t="s">
        <v>63</v>
      </c>
      <c r="X57" s="13" t="s">
        <v>34</v>
      </c>
      <c r="Y57" s="41" t="s">
        <v>86</v>
      </c>
      <c r="Z57" s="43">
        <f>_xlfn.XLOOKUP(A57,Data!A54:A756,Data!C54:C756)</f>
        <v>2025</v>
      </c>
      <c r="AA57" s="43" t="str">
        <f>_xlfn.XLOOKUP(A57,Data!A54:A756,Data!E54:E756)</f>
        <v>Article</v>
      </c>
    </row>
    <row r="58" spans="1:27" ht="15.75" customHeight="1" x14ac:dyDescent="0.3">
      <c r="A58" s="9" t="s">
        <v>227</v>
      </c>
      <c r="B58" s="10" t="s">
        <v>31</v>
      </c>
      <c r="C58" s="9"/>
      <c r="D58" s="11"/>
      <c r="E58" s="12" t="s">
        <v>32</v>
      </c>
      <c r="F58" s="11"/>
      <c r="G58" s="11" t="s">
        <v>33</v>
      </c>
      <c r="H58" s="9" t="s">
        <v>34</v>
      </c>
      <c r="I58" s="11"/>
      <c r="J58" s="9" t="s">
        <v>35</v>
      </c>
      <c r="K58" s="9" t="s">
        <v>36</v>
      </c>
      <c r="L58" s="11" t="s">
        <v>228</v>
      </c>
      <c r="M58" s="9" t="s">
        <v>225</v>
      </c>
      <c r="N58" s="11" t="s">
        <v>33</v>
      </c>
      <c r="O58" s="9" t="s">
        <v>54</v>
      </c>
      <c r="P58" s="11" t="s">
        <v>229</v>
      </c>
      <c r="Q58" s="9" t="s">
        <v>56</v>
      </c>
      <c r="R58" s="11" t="s">
        <v>181</v>
      </c>
      <c r="S58" s="9" t="s">
        <v>34</v>
      </c>
      <c r="T58" s="9" t="s">
        <v>34</v>
      </c>
      <c r="U58" s="9" t="s">
        <v>34</v>
      </c>
      <c r="V58" s="9" t="s">
        <v>62</v>
      </c>
      <c r="W58" s="9" t="s">
        <v>63</v>
      </c>
      <c r="X58" s="9" t="s">
        <v>34</v>
      </c>
      <c r="Y58" s="40" t="s">
        <v>86</v>
      </c>
      <c r="Z58" s="43">
        <f>_xlfn.XLOOKUP(A58,Data!A55:A757,Data!C55:C757)</f>
        <v>2017</v>
      </c>
      <c r="AA58" s="43" t="str">
        <f>_xlfn.XLOOKUP(A58,Data!A55:A757,Data!E55:E757)</f>
        <v>Article</v>
      </c>
    </row>
    <row r="59" spans="1:27" ht="15.75" customHeight="1" x14ac:dyDescent="0.3">
      <c r="A59" s="13" t="s">
        <v>230</v>
      </c>
      <c r="B59" s="10" t="s">
        <v>31</v>
      </c>
      <c r="C59" s="13"/>
      <c r="D59" s="14"/>
      <c r="E59" s="12" t="s">
        <v>32</v>
      </c>
      <c r="F59" s="14"/>
      <c r="G59" s="14" t="s">
        <v>33</v>
      </c>
      <c r="H59" s="13" t="s">
        <v>34</v>
      </c>
      <c r="I59" s="14"/>
      <c r="J59" s="13" t="s">
        <v>35</v>
      </c>
      <c r="K59" s="13" t="s">
        <v>42</v>
      </c>
      <c r="L59" s="14" t="s">
        <v>231</v>
      </c>
      <c r="M59" s="13" t="s">
        <v>38</v>
      </c>
      <c r="N59" s="14" t="s">
        <v>232</v>
      </c>
      <c r="O59" s="13" t="s">
        <v>40</v>
      </c>
      <c r="P59" s="14" t="s">
        <v>107</v>
      </c>
      <c r="Q59" s="13" t="s">
        <v>34</v>
      </c>
      <c r="R59" s="14" t="s">
        <v>33</v>
      </c>
      <c r="S59" s="13" t="s">
        <v>34</v>
      </c>
      <c r="T59" s="13" t="s">
        <v>34</v>
      </c>
      <c r="U59" s="13" t="s">
        <v>42</v>
      </c>
      <c r="V59" s="13" t="s">
        <v>62</v>
      </c>
      <c r="W59" s="13" t="s">
        <v>63</v>
      </c>
      <c r="X59" s="13" t="s">
        <v>34</v>
      </c>
      <c r="Y59" s="41" t="s">
        <v>233</v>
      </c>
      <c r="Z59" s="43">
        <f>_xlfn.XLOOKUP(A59,Data!A56:A758,Data!C56:C758)</f>
        <v>2020</v>
      </c>
      <c r="AA59" s="43" t="str">
        <f>_xlfn.XLOOKUP(A59,Data!A56:A758,Data!E56:E758)</f>
        <v>Article</v>
      </c>
    </row>
    <row r="60" spans="1:27" ht="15.75" customHeight="1" x14ac:dyDescent="0.3">
      <c r="A60" s="9" t="s">
        <v>234</v>
      </c>
      <c r="B60" s="10" t="s">
        <v>31</v>
      </c>
      <c r="C60" s="9"/>
      <c r="D60" s="11"/>
      <c r="E60" s="12" t="s">
        <v>32</v>
      </c>
      <c r="F60" s="11"/>
      <c r="G60" s="11" t="s">
        <v>33</v>
      </c>
      <c r="H60" s="9" t="s">
        <v>34</v>
      </c>
      <c r="I60" s="11"/>
      <c r="J60" s="9" t="s">
        <v>35</v>
      </c>
      <c r="K60" s="9" t="s">
        <v>34</v>
      </c>
      <c r="L60" s="11" t="s">
        <v>235</v>
      </c>
      <c r="M60" s="9" t="s">
        <v>38</v>
      </c>
      <c r="N60" s="11" t="s">
        <v>33</v>
      </c>
      <c r="O60" s="9" t="s">
        <v>33</v>
      </c>
      <c r="P60" s="11" t="s">
        <v>107</v>
      </c>
      <c r="Q60" s="9" t="s">
        <v>34</v>
      </c>
      <c r="R60" s="11" t="s">
        <v>236</v>
      </c>
      <c r="S60" s="9" t="s">
        <v>34</v>
      </c>
      <c r="T60" s="9" t="s">
        <v>34</v>
      </c>
      <c r="U60" s="9" t="s">
        <v>34</v>
      </c>
      <c r="V60" s="9" t="s">
        <v>237</v>
      </c>
      <c r="W60" s="9" t="s">
        <v>63</v>
      </c>
      <c r="X60" s="9" t="s">
        <v>34</v>
      </c>
      <c r="Y60" s="40" t="s">
        <v>238</v>
      </c>
      <c r="Z60" s="43">
        <f>_xlfn.XLOOKUP(A60,Data!A57:A759,Data!C57:C759)</f>
        <v>2022</v>
      </c>
      <c r="AA60" s="43" t="str">
        <f>_xlfn.XLOOKUP(A60,Data!A57:A759,Data!E57:E759)</f>
        <v>Article</v>
      </c>
    </row>
    <row r="61" spans="1:27" ht="15.75" customHeight="1" x14ac:dyDescent="0.3">
      <c r="A61" s="16" t="s">
        <v>239</v>
      </c>
      <c r="B61" s="17" t="s">
        <v>102</v>
      </c>
      <c r="C61" s="16" t="s">
        <v>240</v>
      </c>
      <c r="D61" s="18" t="s">
        <v>241</v>
      </c>
      <c r="E61" s="9" t="s">
        <v>70</v>
      </c>
      <c r="F61" s="18"/>
      <c r="G61" s="18" t="s">
        <v>49</v>
      </c>
      <c r="H61" s="16" t="s">
        <v>42</v>
      </c>
      <c r="I61" s="18" t="s">
        <v>242</v>
      </c>
      <c r="J61" s="16" t="s">
        <v>35</v>
      </c>
      <c r="K61" s="16" t="s">
        <v>36</v>
      </c>
      <c r="L61" s="18" t="s">
        <v>243</v>
      </c>
      <c r="M61" s="16" t="s">
        <v>52</v>
      </c>
      <c r="N61" s="18" t="s">
        <v>244</v>
      </c>
      <c r="O61" s="16" t="s">
        <v>54</v>
      </c>
      <c r="P61" s="18" t="s">
        <v>60</v>
      </c>
      <c r="Q61" s="16" t="s">
        <v>42</v>
      </c>
      <c r="R61" s="18" t="s">
        <v>99</v>
      </c>
      <c r="S61" s="16" t="s">
        <v>42</v>
      </c>
      <c r="T61" s="16" t="s">
        <v>34</v>
      </c>
      <c r="U61" s="16" t="s">
        <v>42</v>
      </c>
      <c r="V61" s="16" t="s">
        <v>43</v>
      </c>
      <c r="W61" s="16" t="s">
        <v>44</v>
      </c>
      <c r="X61" s="16" t="s">
        <v>34</v>
      </c>
      <c r="Y61" s="30" t="s">
        <v>45</v>
      </c>
      <c r="Z61" s="43">
        <f>_xlfn.XLOOKUP(A61,Data!A58:A760,Data!C58:C760)</f>
        <v>2023</v>
      </c>
      <c r="AA61" s="43" t="str">
        <f>_xlfn.XLOOKUP(A61,Data!A58:A760,Data!E58:E760)</f>
        <v>Article</v>
      </c>
    </row>
    <row r="62" spans="1:27" ht="15.75" customHeight="1" x14ac:dyDescent="0.3">
      <c r="A62" s="9" t="s">
        <v>245</v>
      </c>
      <c r="B62" s="10" t="s">
        <v>31</v>
      </c>
      <c r="C62" s="9"/>
      <c r="D62" s="11"/>
      <c r="E62" s="12" t="s">
        <v>32</v>
      </c>
      <c r="F62" s="11"/>
      <c r="G62" s="11" t="s">
        <v>33</v>
      </c>
      <c r="H62" s="9" t="s">
        <v>42</v>
      </c>
      <c r="I62" s="11" t="s">
        <v>33</v>
      </c>
      <c r="J62" s="9" t="s">
        <v>35</v>
      </c>
      <c r="K62" s="9" t="s">
        <v>36</v>
      </c>
      <c r="L62" s="11" t="s">
        <v>71</v>
      </c>
      <c r="M62" s="9" t="s">
        <v>52</v>
      </c>
      <c r="N62" s="11" t="s">
        <v>246</v>
      </c>
      <c r="O62" s="9" t="s">
        <v>40</v>
      </c>
      <c r="P62" s="11" t="s">
        <v>60</v>
      </c>
      <c r="Q62" s="9" t="s">
        <v>34</v>
      </c>
      <c r="R62" s="11" t="s">
        <v>33</v>
      </c>
      <c r="S62" s="9" t="s">
        <v>34</v>
      </c>
      <c r="T62" s="9" t="s">
        <v>34</v>
      </c>
      <c r="U62" s="9" t="s">
        <v>34</v>
      </c>
      <c r="V62" s="9" t="s">
        <v>43</v>
      </c>
      <c r="W62" s="9" t="s">
        <v>44</v>
      </c>
      <c r="X62" s="9" t="s">
        <v>34</v>
      </c>
      <c r="Y62" s="40" t="s">
        <v>45</v>
      </c>
      <c r="Z62" s="43">
        <f>_xlfn.XLOOKUP(A62,Data!A59:A761,Data!C59:C761)</f>
        <v>2025</v>
      </c>
      <c r="AA62" s="43" t="str">
        <f>_xlfn.XLOOKUP(A62,Data!A59:A761,Data!E59:E761)</f>
        <v>Article</v>
      </c>
    </row>
    <row r="63" spans="1:27" ht="15.75" customHeight="1" x14ac:dyDescent="0.3">
      <c r="A63" s="13" t="s">
        <v>247</v>
      </c>
      <c r="B63" s="10" t="s">
        <v>31</v>
      </c>
      <c r="C63" s="13"/>
      <c r="D63" s="14"/>
      <c r="E63" s="12" t="s">
        <v>32</v>
      </c>
      <c r="F63" s="14"/>
      <c r="G63" s="14" t="s">
        <v>92</v>
      </c>
      <c r="H63" s="13" t="s">
        <v>42</v>
      </c>
      <c r="I63" s="14" t="s">
        <v>66</v>
      </c>
      <c r="J63" s="13" t="s">
        <v>35</v>
      </c>
      <c r="K63" s="13" t="s">
        <v>42</v>
      </c>
      <c r="L63" s="14" t="s">
        <v>71</v>
      </c>
      <c r="M63" s="13" t="s">
        <v>52</v>
      </c>
      <c r="N63" s="14" t="s">
        <v>39</v>
      </c>
      <c r="O63" s="13" t="s">
        <v>40</v>
      </c>
      <c r="P63" s="14" t="s">
        <v>60</v>
      </c>
      <c r="Q63" s="13" t="s">
        <v>56</v>
      </c>
      <c r="R63" s="14" t="s">
        <v>33</v>
      </c>
      <c r="S63" s="13" t="s">
        <v>34</v>
      </c>
      <c r="T63" s="13" t="s">
        <v>34</v>
      </c>
      <c r="U63" s="13" t="s">
        <v>42</v>
      </c>
      <c r="V63" s="13" t="s">
        <v>43</v>
      </c>
      <c r="W63" s="13" t="s">
        <v>44</v>
      </c>
      <c r="X63" s="13" t="s">
        <v>34</v>
      </c>
      <c r="Y63" s="41" t="s">
        <v>45</v>
      </c>
      <c r="Z63" s="43">
        <f>_xlfn.XLOOKUP(A63,Data!A60:A762,Data!C60:C762)</f>
        <v>2018</v>
      </c>
      <c r="AA63" s="43" t="str">
        <f>_xlfn.XLOOKUP(A63,Data!A60:A762,Data!E60:E762)</f>
        <v>Article</v>
      </c>
    </row>
    <row r="64" spans="1:27" ht="15.75" customHeight="1" x14ac:dyDescent="0.3">
      <c r="A64" s="9" t="s">
        <v>248</v>
      </c>
      <c r="B64" s="10" t="s">
        <v>31</v>
      </c>
      <c r="C64" s="9"/>
      <c r="D64" s="11"/>
      <c r="E64" s="16" t="s">
        <v>161</v>
      </c>
      <c r="F64" s="11"/>
      <c r="G64" s="11" t="s">
        <v>249</v>
      </c>
      <c r="H64" s="9" t="s">
        <v>34</v>
      </c>
      <c r="I64" s="11"/>
      <c r="J64" s="9" t="s">
        <v>35</v>
      </c>
      <c r="K64" s="9" t="s">
        <v>42</v>
      </c>
      <c r="L64" s="11" t="s">
        <v>250</v>
      </c>
      <c r="M64" s="9" t="s">
        <v>52</v>
      </c>
      <c r="N64" s="11" t="s">
        <v>251</v>
      </c>
      <c r="O64" s="9" t="s">
        <v>60</v>
      </c>
      <c r="P64" s="11" t="s">
        <v>60</v>
      </c>
      <c r="Q64" s="9" t="s">
        <v>34</v>
      </c>
      <c r="R64" s="11" t="s">
        <v>33</v>
      </c>
      <c r="S64" s="9" t="s">
        <v>34</v>
      </c>
      <c r="T64" s="9" t="s">
        <v>34</v>
      </c>
      <c r="U64" s="9" t="s">
        <v>42</v>
      </c>
      <c r="V64" s="9" t="s">
        <v>43</v>
      </c>
      <c r="W64" s="9" t="s">
        <v>44</v>
      </c>
      <c r="X64" s="9" t="s">
        <v>34</v>
      </c>
      <c r="Y64" s="40" t="s">
        <v>252</v>
      </c>
      <c r="Z64" s="43">
        <f>_xlfn.XLOOKUP(A64,Data!A61:A763,Data!C61:C763)</f>
        <v>2024</v>
      </c>
      <c r="AA64" s="43" t="str">
        <f>_xlfn.XLOOKUP(A64,Data!A61:A763,Data!E61:E763)</f>
        <v>Article</v>
      </c>
    </row>
    <row r="65" spans="1:27" ht="15.75" customHeight="1" x14ac:dyDescent="0.3">
      <c r="A65" s="13" t="s">
        <v>253</v>
      </c>
      <c r="B65" s="10" t="s">
        <v>31</v>
      </c>
      <c r="C65" s="13"/>
      <c r="D65" s="14"/>
      <c r="E65" s="12" t="s">
        <v>32</v>
      </c>
      <c r="F65" s="14"/>
      <c r="G65" s="14" t="s">
        <v>33</v>
      </c>
      <c r="H65" s="13" t="s">
        <v>42</v>
      </c>
      <c r="I65" s="14" t="s">
        <v>254</v>
      </c>
      <c r="J65" s="13" t="s">
        <v>35</v>
      </c>
      <c r="K65" s="13" t="s">
        <v>42</v>
      </c>
      <c r="L65" s="14" t="s">
        <v>255</v>
      </c>
      <c r="M65" s="13" t="s">
        <v>52</v>
      </c>
      <c r="N65" s="14" t="s">
        <v>256</v>
      </c>
      <c r="O65" s="13" t="s">
        <v>40</v>
      </c>
      <c r="P65" s="14" t="s">
        <v>60</v>
      </c>
      <c r="Q65" s="13" t="s">
        <v>34</v>
      </c>
      <c r="R65" s="14" t="s">
        <v>132</v>
      </c>
      <c r="S65" s="13" t="s">
        <v>34</v>
      </c>
      <c r="T65" s="13" t="s">
        <v>34</v>
      </c>
      <c r="U65" s="13" t="s">
        <v>42</v>
      </c>
      <c r="V65" s="13" t="s">
        <v>43</v>
      </c>
      <c r="W65" s="13" t="s">
        <v>63</v>
      </c>
      <c r="X65" s="13" t="s">
        <v>34</v>
      </c>
      <c r="Y65" s="41" t="s">
        <v>147</v>
      </c>
      <c r="Z65" s="43">
        <f>_xlfn.XLOOKUP(A65,Data!A62:A764,Data!C62:C764)</f>
        <v>2021</v>
      </c>
      <c r="AA65" s="43" t="str">
        <f>_xlfn.XLOOKUP(A65,Data!A62:A764,Data!E62:E764)</f>
        <v>Article</v>
      </c>
    </row>
    <row r="66" spans="1:27" ht="15.75" customHeight="1" x14ac:dyDescent="0.3">
      <c r="A66" s="9" t="s">
        <v>257</v>
      </c>
      <c r="B66" s="10" t="s">
        <v>31</v>
      </c>
      <c r="C66" s="9"/>
      <c r="D66" s="11"/>
      <c r="E66" s="12" t="s">
        <v>32</v>
      </c>
      <c r="F66" s="11"/>
      <c r="G66" s="11" t="s">
        <v>33</v>
      </c>
      <c r="H66" s="9" t="s">
        <v>34</v>
      </c>
      <c r="I66" s="11"/>
      <c r="J66" s="9" t="s">
        <v>35</v>
      </c>
      <c r="K66" s="9" t="s">
        <v>42</v>
      </c>
      <c r="L66" s="11" t="s">
        <v>67</v>
      </c>
      <c r="M66" s="9" t="s">
        <v>225</v>
      </c>
      <c r="N66" s="11" t="s">
        <v>33</v>
      </c>
      <c r="O66" s="9" t="s">
        <v>60</v>
      </c>
      <c r="P66" s="11" t="s">
        <v>41</v>
      </c>
      <c r="Q66" s="9" t="s">
        <v>34</v>
      </c>
      <c r="R66" s="11" t="s">
        <v>181</v>
      </c>
      <c r="S66" s="9" t="s">
        <v>34</v>
      </c>
      <c r="T66" s="9" t="s">
        <v>34</v>
      </c>
      <c r="U66" s="9" t="s">
        <v>42</v>
      </c>
      <c r="V66" s="9" t="s">
        <v>62</v>
      </c>
      <c r="W66" s="9" t="s">
        <v>63</v>
      </c>
      <c r="X66" s="9" t="s">
        <v>34</v>
      </c>
      <c r="Y66" s="40" t="s">
        <v>68</v>
      </c>
      <c r="Z66" s="43">
        <f>_xlfn.XLOOKUP(A66,Data!A63:A765,Data!C63:C765)</f>
        <v>2018</v>
      </c>
      <c r="AA66" s="43" t="str">
        <f>_xlfn.XLOOKUP(A66,Data!A63:A765,Data!E63:E765)</f>
        <v>Article</v>
      </c>
    </row>
    <row r="67" spans="1:27" ht="15.75" customHeight="1" x14ac:dyDescent="0.3">
      <c r="A67" s="13" t="s">
        <v>258</v>
      </c>
      <c r="B67" s="10" t="s">
        <v>31</v>
      </c>
      <c r="C67" s="13"/>
      <c r="D67" s="14"/>
      <c r="E67" s="12" t="s">
        <v>32</v>
      </c>
      <c r="F67" s="14"/>
      <c r="G67" s="14" t="s">
        <v>33</v>
      </c>
      <c r="H67" s="13" t="s">
        <v>34</v>
      </c>
      <c r="I67" s="14"/>
      <c r="J67" s="13" t="s">
        <v>35</v>
      </c>
      <c r="K67" s="13" t="s">
        <v>36</v>
      </c>
      <c r="L67" s="14" t="s">
        <v>118</v>
      </c>
      <c r="M67" s="13" t="s">
        <v>38</v>
      </c>
      <c r="N67" s="14" t="s">
        <v>72</v>
      </c>
      <c r="O67" s="13" t="s">
        <v>60</v>
      </c>
      <c r="P67" s="14" t="s">
        <v>60</v>
      </c>
      <c r="Q67" s="13" t="s">
        <v>34</v>
      </c>
      <c r="R67" s="14" t="s">
        <v>33</v>
      </c>
      <c r="S67" s="13" t="s">
        <v>34</v>
      </c>
      <c r="T67" s="13" t="s">
        <v>34</v>
      </c>
      <c r="U67" s="13" t="s">
        <v>42</v>
      </c>
      <c r="V67" s="13" t="s">
        <v>43</v>
      </c>
      <c r="W67" s="13" t="s">
        <v>44</v>
      </c>
      <c r="X67" s="13" t="s">
        <v>34</v>
      </c>
      <c r="Y67" s="41" t="s">
        <v>45</v>
      </c>
      <c r="Z67" s="43">
        <f>_xlfn.XLOOKUP(A67,Data!A64:A766,Data!C64:C766)</f>
        <v>2021</v>
      </c>
      <c r="AA67" s="43" t="str">
        <f>_xlfn.XLOOKUP(A67,Data!A64:A766,Data!E64:E766)</f>
        <v>Article</v>
      </c>
    </row>
    <row r="68" spans="1:27" ht="15.75" customHeight="1" x14ac:dyDescent="0.3">
      <c r="A68" s="9" t="s">
        <v>259</v>
      </c>
      <c r="B68" s="10" t="s">
        <v>31</v>
      </c>
      <c r="C68" s="9"/>
      <c r="D68" s="11"/>
      <c r="E68" s="12" t="s">
        <v>32</v>
      </c>
      <c r="F68" s="11"/>
      <c r="G68" s="11" t="s">
        <v>33</v>
      </c>
      <c r="H68" s="9" t="s">
        <v>34</v>
      </c>
      <c r="I68" s="11"/>
      <c r="J68" s="9" t="s">
        <v>35</v>
      </c>
      <c r="K68" s="9" t="s">
        <v>42</v>
      </c>
      <c r="L68" s="11" t="s">
        <v>260</v>
      </c>
      <c r="M68" s="9" t="s">
        <v>52</v>
      </c>
      <c r="N68" s="11" t="s">
        <v>59</v>
      </c>
      <c r="O68" s="9" t="s">
        <v>54</v>
      </c>
      <c r="P68" s="11" t="s">
        <v>60</v>
      </c>
      <c r="Q68" s="9" t="s">
        <v>42</v>
      </c>
      <c r="R68" s="11" t="s">
        <v>99</v>
      </c>
      <c r="S68" s="9" t="s">
        <v>34</v>
      </c>
      <c r="T68" s="9" t="s">
        <v>34</v>
      </c>
      <c r="U68" s="9" t="s">
        <v>34</v>
      </c>
      <c r="V68" s="9" t="s">
        <v>62</v>
      </c>
      <c r="W68" s="9" t="s">
        <v>63</v>
      </c>
      <c r="X68" s="9" t="s">
        <v>34</v>
      </c>
      <c r="Y68" s="40" t="s">
        <v>80</v>
      </c>
      <c r="Z68" s="43">
        <f>_xlfn.XLOOKUP(A68,Data!A65:A767,Data!C65:C767)</f>
        <v>2018</v>
      </c>
      <c r="AA68" s="43" t="str">
        <f>_xlfn.XLOOKUP(A68,Data!A65:A767,Data!E65:E767)</f>
        <v>Article</v>
      </c>
    </row>
    <row r="69" spans="1:27" ht="15.75" customHeight="1" x14ac:dyDescent="0.3">
      <c r="A69" s="15" t="s">
        <v>261</v>
      </c>
      <c r="B69" s="19" t="s">
        <v>122</v>
      </c>
      <c r="C69" s="15" t="s">
        <v>123</v>
      </c>
      <c r="D69" s="20" t="s">
        <v>124</v>
      </c>
      <c r="E69" s="21" t="s">
        <v>125</v>
      </c>
      <c r="F69" s="20"/>
      <c r="G69" s="20" t="s">
        <v>33</v>
      </c>
      <c r="H69" s="15" t="s">
        <v>34</v>
      </c>
      <c r="I69" s="20"/>
      <c r="J69" s="15" t="s">
        <v>35</v>
      </c>
      <c r="K69" s="15" t="s">
        <v>36</v>
      </c>
      <c r="L69" s="20" t="s">
        <v>262</v>
      </c>
      <c r="M69" s="15" t="s">
        <v>52</v>
      </c>
      <c r="N69" s="20" t="s">
        <v>59</v>
      </c>
      <c r="O69" s="15" t="s">
        <v>54</v>
      </c>
      <c r="P69" s="20" t="s">
        <v>107</v>
      </c>
      <c r="Q69" s="15" t="s">
        <v>34</v>
      </c>
      <c r="R69" s="20" t="s">
        <v>263</v>
      </c>
      <c r="S69" s="15" t="s">
        <v>34</v>
      </c>
      <c r="T69" s="15" t="s">
        <v>34</v>
      </c>
      <c r="U69" s="15" t="s">
        <v>34</v>
      </c>
      <c r="V69" s="15" t="s">
        <v>43</v>
      </c>
      <c r="W69" s="15" t="s">
        <v>44</v>
      </c>
      <c r="X69" s="15" t="s">
        <v>34</v>
      </c>
      <c r="Y69" s="42" t="s">
        <v>165</v>
      </c>
      <c r="Z69" s="43">
        <f>_xlfn.XLOOKUP(A69,Data!A66:A768,Data!C66:C768)</f>
        <v>2017</v>
      </c>
      <c r="AA69" s="43" t="str">
        <f>_xlfn.XLOOKUP(A69,Data!A66:A768,Data!E66:E768)</f>
        <v>Article</v>
      </c>
    </row>
    <row r="70" spans="1:27" ht="15.75" customHeight="1" x14ac:dyDescent="0.3">
      <c r="A70" s="15" t="s">
        <v>264</v>
      </c>
      <c r="B70" s="19" t="s">
        <v>122</v>
      </c>
      <c r="C70" s="15" t="s">
        <v>123</v>
      </c>
      <c r="D70" s="20" t="s">
        <v>124</v>
      </c>
      <c r="E70" s="21" t="s">
        <v>125</v>
      </c>
      <c r="F70" s="20"/>
      <c r="G70" s="20" t="s">
        <v>33</v>
      </c>
      <c r="H70" s="15" t="s">
        <v>42</v>
      </c>
      <c r="I70" s="20" t="s">
        <v>167</v>
      </c>
      <c r="J70" s="15" t="s">
        <v>35</v>
      </c>
      <c r="K70" s="15" t="s">
        <v>36</v>
      </c>
      <c r="L70" s="20" t="s">
        <v>265</v>
      </c>
      <c r="M70" s="15" t="s">
        <v>225</v>
      </c>
      <c r="N70" s="20" t="s">
        <v>266</v>
      </c>
      <c r="O70" s="15" t="s">
        <v>54</v>
      </c>
      <c r="P70" s="20" t="s">
        <v>41</v>
      </c>
      <c r="Q70" s="15" t="s">
        <v>34</v>
      </c>
      <c r="R70" s="20" t="s">
        <v>33</v>
      </c>
      <c r="S70" s="15" t="s">
        <v>34</v>
      </c>
      <c r="T70" s="15" t="s">
        <v>34</v>
      </c>
      <c r="U70" s="15" t="s">
        <v>42</v>
      </c>
      <c r="V70" s="15" t="s">
        <v>43</v>
      </c>
      <c r="W70" s="15" t="s">
        <v>44</v>
      </c>
      <c r="X70" s="15" t="s">
        <v>34</v>
      </c>
      <c r="Y70" s="42" t="s">
        <v>45</v>
      </c>
      <c r="Z70" s="43">
        <f>_xlfn.XLOOKUP(A70,Data!A67:A769,Data!C67:C769)</f>
        <v>2019</v>
      </c>
      <c r="AA70" s="43" t="str">
        <f>_xlfn.XLOOKUP(A70,Data!A67:A769,Data!E67:E769)</f>
        <v>Article</v>
      </c>
    </row>
    <row r="71" spans="1:27" ht="15.75" customHeight="1" x14ac:dyDescent="0.3">
      <c r="A71" s="15" t="s">
        <v>267</v>
      </c>
      <c r="B71" s="19" t="s">
        <v>122</v>
      </c>
      <c r="C71" s="15" t="s">
        <v>123</v>
      </c>
      <c r="D71" s="20" t="s">
        <v>268</v>
      </c>
      <c r="E71" s="15" t="s">
        <v>33</v>
      </c>
      <c r="F71" s="20"/>
      <c r="G71" s="20" t="s">
        <v>33</v>
      </c>
      <c r="H71" s="15" t="s">
        <v>34</v>
      </c>
      <c r="I71" s="20"/>
      <c r="J71" s="15" t="s">
        <v>33</v>
      </c>
      <c r="K71" s="15" t="s">
        <v>36</v>
      </c>
      <c r="L71" s="20" t="s">
        <v>33</v>
      </c>
      <c r="M71" s="15" t="s">
        <v>33</v>
      </c>
      <c r="N71" s="20" t="s">
        <v>33</v>
      </c>
      <c r="O71" s="15" t="s">
        <v>33</v>
      </c>
      <c r="P71" s="20" t="s">
        <v>33</v>
      </c>
      <c r="Q71" s="15" t="s">
        <v>34</v>
      </c>
      <c r="R71" s="20" t="s">
        <v>33</v>
      </c>
      <c r="S71" s="15" t="s">
        <v>34</v>
      </c>
      <c r="T71" s="15" t="s">
        <v>34</v>
      </c>
      <c r="U71" s="15" t="s">
        <v>34</v>
      </c>
      <c r="V71" s="15" t="s">
        <v>33</v>
      </c>
      <c r="W71" s="15" t="s">
        <v>44</v>
      </c>
      <c r="X71" s="15" t="s">
        <v>34</v>
      </c>
      <c r="Y71" s="42" t="s">
        <v>269</v>
      </c>
      <c r="Z71" s="43">
        <f>_xlfn.XLOOKUP(A71,Data!A68:A770,Data!C68:C770)</f>
        <v>2024</v>
      </c>
      <c r="AA71" s="43" t="str">
        <f>_xlfn.XLOOKUP(A71,Data!A68:A770,Data!E68:E770)</f>
        <v>Article</v>
      </c>
    </row>
    <row r="72" spans="1:27" ht="15.75" customHeight="1" x14ac:dyDescent="0.3">
      <c r="A72" s="9" t="s">
        <v>270</v>
      </c>
      <c r="B72" s="10" t="s">
        <v>31</v>
      </c>
      <c r="C72" s="9"/>
      <c r="D72" s="11"/>
      <c r="E72" s="16" t="s">
        <v>161</v>
      </c>
      <c r="F72" s="11"/>
      <c r="G72" s="11" t="s">
        <v>33</v>
      </c>
      <c r="H72" s="9" t="s">
        <v>34</v>
      </c>
      <c r="I72" s="11"/>
      <c r="J72" s="9" t="s">
        <v>35</v>
      </c>
      <c r="K72" s="9" t="s">
        <v>36</v>
      </c>
      <c r="L72" s="11" t="s">
        <v>271</v>
      </c>
      <c r="M72" s="9" t="s">
        <v>52</v>
      </c>
      <c r="N72" s="11" t="s">
        <v>33</v>
      </c>
      <c r="O72" s="9" t="s">
        <v>54</v>
      </c>
      <c r="P72" s="11" t="s">
        <v>60</v>
      </c>
      <c r="Q72" s="9" t="s">
        <v>34</v>
      </c>
      <c r="R72" s="11" t="s">
        <v>33</v>
      </c>
      <c r="S72" s="9" t="s">
        <v>34</v>
      </c>
      <c r="T72" s="9" t="s">
        <v>34</v>
      </c>
      <c r="U72" s="9" t="s">
        <v>34</v>
      </c>
      <c r="V72" s="9" t="s">
        <v>62</v>
      </c>
      <c r="W72" s="9" t="s">
        <v>63</v>
      </c>
      <c r="X72" s="9" t="s">
        <v>34</v>
      </c>
      <c r="Y72" s="40" t="s">
        <v>86</v>
      </c>
      <c r="Z72" s="43">
        <f>_xlfn.XLOOKUP(A72,Data!A69:A771,Data!C69:C771)</f>
        <v>2025</v>
      </c>
      <c r="AA72" s="43" t="str">
        <f>_xlfn.XLOOKUP(A72,Data!A69:A771,Data!E69:E771)</f>
        <v>Article</v>
      </c>
    </row>
    <row r="73" spans="1:27" ht="15.75" customHeight="1" x14ac:dyDescent="0.3">
      <c r="A73" s="13" t="s">
        <v>272</v>
      </c>
      <c r="B73" s="10" t="s">
        <v>31</v>
      </c>
      <c r="C73" s="13"/>
      <c r="D73" s="14"/>
      <c r="E73" s="12" t="s">
        <v>32</v>
      </c>
      <c r="F73" s="14"/>
      <c r="G73" s="14" t="s">
        <v>172</v>
      </c>
      <c r="H73" s="13" t="s">
        <v>34</v>
      </c>
      <c r="I73" s="14"/>
      <c r="J73" s="13" t="s">
        <v>35</v>
      </c>
      <c r="K73" s="13" t="s">
        <v>42</v>
      </c>
      <c r="L73" s="14" t="s">
        <v>273</v>
      </c>
      <c r="M73" s="13" t="s">
        <v>52</v>
      </c>
      <c r="N73" s="14" t="s">
        <v>274</v>
      </c>
      <c r="O73" s="13" t="s">
        <v>54</v>
      </c>
      <c r="P73" s="14" t="s">
        <v>60</v>
      </c>
      <c r="Q73" s="13" t="s">
        <v>34</v>
      </c>
      <c r="R73" s="14" t="s">
        <v>33</v>
      </c>
      <c r="S73" s="13" t="s">
        <v>34</v>
      </c>
      <c r="T73" s="13" t="s">
        <v>42</v>
      </c>
      <c r="U73" s="13" t="s">
        <v>34</v>
      </c>
      <c r="V73" s="13" t="s">
        <v>62</v>
      </c>
      <c r="W73" s="13" t="s">
        <v>63</v>
      </c>
      <c r="X73" s="13" t="s">
        <v>34</v>
      </c>
      <c r="Y73" s="41" t="s">
        <v>173</v>
      </c>
      <c r="Z73" s="43">
        <f>_xlfn.XLOOKUP(A73,Data!A70:A772,Data!C70:C772)</f>
        <v>2019</v>
      </c>
      <c r="AA73" s="43" t="str">
        <f>_xlfn.XLOOKUP(A73,Data!A70:A772,Data!E70:E772)</f>
        <v>Article</v>
      </c>
    </row>
    <row r="74" spans="1:27" ht="15.75" customHeight="1" x14ac:dyDescent="0.3">
      <c r="A74" s="15" t="s">
        <v>275</v>
      </c>
      <c r="B74" s="19" t="s">
        <v>122</v>
      </c>
      <c r="C74" s="15" t="s">
        <v>123</v>
      </c>
      <c r="D74" s="20" t="s">
        <v>124</v>
      </c>
      <c r="E74" s="21" t="s">
        <v>125</v>
      </c>
      <c r="F74" s="20"/>
      <c r="G74" s="20" t="s">
        <v>33</v>
      </c>
      <c r="H74" s="15" t="s">
        <v>34</v>
      </c>
      <c r="I74" s="20"/>
      <c r="J74" s="15" t="s">
        <v>83</v>
      </c>
      <c r="K74" s="15" t="s">
        <v>36</v>
      </c>
      <c r="L74" s="20" t="s">
        <v>199</v>
      </c>
      <c r="M74" s="15" t="s">
        <v>38</v>
      </c>
      <c r="N74" s="20" t="s">
        <v>276</v>
      </c>
      <c r="O74" s="15" t="s">
        <v>40</v>
      </c>
      <c r="P74" s="20" t="s">
        <v>41</v>
      </c>
      <c r="Q74" s="15" t="s">
        <v>34</v>
      </c>
      <c r="R74" s="20" t="s">
        <v>33</v>
      </c>
      <c r="S74" s="15" t="s">
        <v>34</v>
      </c>
      <c r="T74" s="15" t="s">
        <v>34</v>
      </c>
      <c r="U74" s="15" t="s">
        <v>42</v>
      </c>
      <c r="V74" s="15" t="s">
        <v>62</v>
      </c>
      <c r="W74" s="15" t="s">
        <v>63</v>
      </c>
      <c r="X74" s="15" t="s">
        <v>34</v>
      </c>
      <c r="Y74" s="42" t="s">
        <v>173</v>
      </c>
      <c r="Z74" s="43">
        <f>_xlfn.XLOOKUP(A74,Data!A71:A773,Data!C71:C773)</f>
        <v>2025</v>
      </c>
      <c r="AA74" s="43" t="str">
        <f>_xlfn.XLOOKUP(A74,Data!A71:A773,Data!E71:E773)</f>
        <v>Article</v>
      </c>
    </row>
    <row r="75" spans="1:27" ht="15.75" customHeight="1" x14ac:dyDescent="0.3">
      <c r="A75" s="13" t="s">
        <v>277</v>
      </c>
      <c r="B75" s="10" t="s">
        <v>31</v>
      </c>
      <c r="C75" s="13"/>
      <c r="D75" s="14"/>
      <c r="E75" s="9" t="s">
        <v>70</v>
      </c>
      <c r="F75" s="14"/>
      <c r="G75" s="14" t="s">
        <v>92</v>
      </c>
      <c r="H75" s="13" t="s">
        <v>34</v>
      </c>
      <c r="I75" s="14"/>
      <c r="J75" s="13" t="s">
        <v>35</v>
      </c>
      <c r="K75" s="13" t="s">
        <v>42</v>
      </c>
      <c r="L75" s="14" t="s">
        <v>67</v>
      </c>
      <c r="M75" s="13" t="s">
        <v>52</v>
      </c>
      <c r="N75" s="14" t="s">
        <v>33</v>
      </c>
      <c r="O75" s="13" t="s">
        <v>60</v>
      </c>
      <c r="P75" s="14" t="s">
        <v>107</v>
      </c>
      <c r="Q75" s="13" t="s">
        <v>34</v>
      </c>
      <c r="R75" s="14" t="s">
        <v>33</v>
      </c>
      <c r="S75" s="13" t="s">
        <v>34</v>
      </c>
      <c r="T75" s="13" t="s">
        <v>34</v>
      </c>
      <c r="U75" s="13" t="s">
        <v>34</v>
      </c>
      <c r="V75" s="13" t="s">
        <v>62</v>
      </c>
      <c r="W75" s="13" t="s">
        <v>63</v>
      </c>
      <c r="X75" s="13" t="s">
        <v>34</v>
      </c>
      <c r="Y75" s="41" t="s">
        <v>68</v>
      </c>
      <c r="Z75" s="43">
        <f>_xlfn.XLOOKUP(A75,Data!A72:A774,Data!C72:C774)</f>
        <v>2016</v>
      </c>
      <c r="AA75" s="43" t="str">
        <f>_xlfn.XLOOKUP(A75,Data!A72:A774,Data!E72:E774)</f>
        <v>Article</v>
      </c>
    </row>
    <row r="76" spans="1:27" ht="15.75" customHeight="1" x14ac:dyDescent="0.3">
      <c r="A76" s="15" t="s">
        <v>278</v>
      </c>
      <c r="B76" s="19" t="s">
        <v>122</v>
      </c>
      <c r="C76" s="15" t="s">
        <v>123</v>
      </c>
      <c r="D76" s="20" t="s">
        <v>124</v>
      </c>
      <c r="E76" s="21" t="s">
        <v>125</v>
      </c>
      <c r="F76" s="20"/>
      <c r="G76" s="20" t="s">
        <v>33</v>
      </c>
      <c r="H76" s="15" t="s">
        <v>42</v>
      </c>
      <c r="I76" s="20" t="s">
        <v>279</v>
      </c>
      <c r="J76" s="15" t="s">
        <v>83</v>
      </c>
      <c r="K76" s="15" t="s">
        <v>36</v>
      </c>
      <c r="L76" s="20" t="s">
        <v>280</v>
      </c>
      <c r="M76" s="15" t="s">
        <v>38</v>
      </c>
      <c r="N76" s="20" t="s">
        <v>281</v>
      </c>
      <c r="O76" s="15" t="s">
        <v>40</v>
      </c>
      <c r="P76" s="20" t="s">
        <v>41</v>
      </c>
      <c r="Q76" s="15" t="s">
        <v>34</v>
      </c>
      <c r="R76" s="20" t="s">
        <v>181</v>
      </c>
      <c r="S76" s="15" t="s">
        <v>34</v>
      </c>
      <c r="T76" s="15" t="s">
        <v>34</v>
      </c>
      <c r="U76" s="15" t="s">
        <v>42</v>
      </c>
      <c r="V76" s="15" t="s">
        <v>62</v>
      </c>
      <c r="W76" s="15" t="s">
        <v>63</v>
      </c>
      <c r="X76" s="15" t="s">
        <v>34</v>
      </c>
      <c r="Y76" s="42" t="s">
        <v>282</v>
      </c>
      <c r="Z76" s="43">
        <f>_xlfn.XLOOKUP(A76,Data!A73:A775,Data!C73:C775)</f>
        <v>2025</v>
      </c>
      <c r="AA76" s="43" t="str">
        <f>_xlfn.XLOOKUP(A76,Data!A73:A775,Data!E73:E775)</f>
        <v>Article</v>
      </c>
    </row>
    <row r="77" spans="1:27" ht="15.75" customHeight="1" x14ac:dyDescent="0.3">
      <c r="A77" s="15" t="s">
        <v>283</v>
      </c>
      <c r="B77" s="19" t="s">
        <v>122</v>
      </c>
      <c r="C77" s="15" t="s">
        <v>123</v>
      </c>
      <c r="D77" s="20" t="s">
        <v>124</v>
      </c>
      <c r="E77" s="21" t="s">
        <v>125</v>
      </c>
      <c r="F77" s="20"/>
      <c r="G77" s="20" t="s">
        <v>33</v>
      </c>
      <c r="H77" s="15" t="s">
        <v>42</v>
      </c>
      <c r="I77" s="20" t="s">
        <v>284</v>
      </c>
      <c r="J77" s="15" t="s">
        <v>35</v>
      </c>
      <c r="K77" s="15" t="s">
        <v>36</v>
      </c>
      <c r="L77" s="20" t="s">
        <v>71</v>
      </c>
      <c r="M77" s="15" t="s">
        <v>52</v>
      </c>
      <c r="N77" s="20" t="s">
        <v>285</v>
      </c>
      <c r="O77" s="15" t="s">
        <v>54</v>
      </c>
      <c r="P77" s="20" t="s">
        <v>41</v>
      </c>
      <c r="Q77" s="15" t="s">
        <v>34</v>
      </c>
      <c r="R77" s="20" t="s">
        <v>33</v>
      </c>
      <c r="S77" s="15" t="s">
        <v>34</v>
      </c>
      <c r="T77" s="15" t="s">
        <v>34</v>
      </c>
      <c r="U77" s="15" t="s">
        <v>42</v>
      </c>
      <c r="V77" s="15" t="s">
        <v>43</v>
      </c>
      <c r="W77" s="15" t="s">
        <v>44</v>
      </c>
      <c r="X77" s="15" t="s">
        <v>34</v>
      </c>
      <c r="Y77" s="42" t="s">
        <v>45</v>
      </c>
      <c r="Z77" s="43">
        <f>_xlfn.XLOOKUP(A77,Data!A74:A776,Data!C74:C776)</f>
        <v>2019</v>
      </c>
      <c r="AA77" s="43" t="str">
        <f>_xlfn.XLOOKUP(A77,Data!A74:A776,Data!E74:E776)</f>
        <v>Article</v>
      </c>
    </row>
    <row r="78" spans="1:27" ht="15.75" customHeight="1" x14ac:dyDescent="0.3">
      <c r="A78" s="9" t="s">
        <v>286</v>
      </c>
      <c r="B78" s="10" t="s">
        <v>31</v>
      </c>
      <c r="C78" s="9"/>
      <c r="D78" s="11"/>
      <c r="E78" s="12" t="s">
        <v>32</v>
      </c>
      <c r="F78" s="11"/>
      <c r="G78" s="11" t="s">
        <v>33</v>
      </c>
      <c r="H78" s="9" t="s">
        <v>34</v>
      </c>
      <c r="I78" s="11"/>
      <c r="J78" s="9" t="s">
        <v>35</v>
      </c>
      <c r="K78" s="9" t="s">
        <v>42</v>
      </c>
      <c r="L78" s="11" t="s">
        <v>141</v>
      </c>
      <c r="M78" s="9" t="s">
        <v>52</v>
      </c>
      <c r="N78" s="11" t="s">
        <v>287</v>
      </c>
      <c r="O78" s="9" t="s">
        <v>60</v>
      </c>
      <c r="P78" s="11" t="s">
        <v>107</v>
      </c>
      <c r="Q78" s="9" t="s">
        <v>34</v>
      </c>
      <c r="R78" s="11" t="s">
        <v>33</v>
      </c>
      <c r="S78" s="9" t="s">
        <v>34</v>
      </c>
      <c r="T78" s="9" t="s">
        <v>34</v>
      </c>
      <c r="U78" s="9" t="s">
        <v>34</v>
      </c>
      <c r="V78" s="9" t="s">
        <v>43</v>
      </c>
      <c r="W78" s="9" t="s">
        <v>44</v>
      </c>
      <c r="X78" s="9" t="s">
        <v>34</v>
      </c>
      <c r="Y78" s="40" t="s">
        <v>45</v>
      </c>
      <c r="Z78" s="43">
        <f>_xlfn.XLOOKUP(A78,Data!A75:A777,Data!C75:C777)</f>
        <v>2018</v>
      </c>
      <c r="AA78" s="43" t="str">
        <f>_xlfn.XLOOKUP(A78,Data!A75:A777,Data!E75:E777)</f>
        <v>Article</v>
      </c>
    </row>
    <row r="79" spans="1:27" ht="15.75" customHeight="1" x14ac:dyDescent="0.3">
      <c r="A79" s="15" t="s">
        <v>288</v>
      </c>
      <c r="B79" s="19" t="s">
        <v>122</v>
      </c>
      <c r="C79" s="15" t="s">
        <v>123</v>
      </c>
      <c r="D79" s="20" t="s">
        <v>124</v>
      </c>
      <c r="E79" s="21" t="s">
        <v>125</v>
      </c>
      <c r="F79" s="20"/>
      <c r="G79" s="20" t="s">
        <v>33</v>
      </c>
      <c r="H79" s="15" t="s">
        <v>34</v>
      </c>
      <c r="I79" s="20"/>
      <c r="J79" s="15" t="s">
        <v>35</v>
      </c>
      <c r="K79" s="15" t="s">
        <v>36</v>
      </c>
      <c r="L79" s="20" t="s">
        <v>289</v>
      </c>
      <c r="M79" s="15" t="s">
        <v>52</v>
      </c>
      <c r="N79" s="20" t="s">
        <v>290</v>
      </c>
      <c r="O79" s="15" t="s">
        <v>54</v>
      </c>
      <c r="P79" s="20" t="s">
        <v>60</v>
      </c>
      <c r="Q79" s="15" t="s">
        <v>34</v>
      </c>
      <c r="R79" s="20" t="s">
        <v>33</v>
      </c>
      <c r="S79" s="15" t="s">
        <v>34</v>
      </c>
      <c r="T79" s="15" t="s">
        <v>34</v>
      </c>
      <c r="U79" s="15" t="s">
        <v>42</v>
      </c>
      <c r="V79" s="15" t="s">
        <v>33</v>
      </c>
      <c r="W79" s="15" t="s">
        <v>33</v>
      </c>
      <c r="X79" s="15" t="s">
        <v>34</v>
      </c>
      <c r="Y79" s="42" t="s">
        <v>33</v>
      </c>
      <c r="Z79" s="43">
        <f>_xlfn.XLOOKUP(A79,Data!A76:A778,Data!C76:C778)</f>
        <v>2023</v>
      </c>
      <c r="AA79" s="43" t="str">
        <f>_xlfn.XLOOKUP(A79,Data!A76:A778,Data!E76:E778)</f>
        <v>Article</v>
      </c>
    </row>
    <row r="80" spans="1:27" ht="15.75" customHeight="1" x14ac:dyDescent="0.3">
      <c r="A80" s="15" t="s">
        <v>291</v>
      </c>
      <c r="B80" s="19" t="s">
        <v>122</v>
      </c>
      <c r="C80" s="15" t="s">
        <v>123</v>
      </c>
      <c r="D80" s="20" t="s">
        <v>124</v>
      </c>
      <c r="E80" s="21" t="s">
        <v>125</v>
      </c>
      <c r="F80" s="20"/>
      <c r="G80" s="20" t="s">
        <v>33</v>
      </c>
      <c r="H80" s="15" t="s">
        <v>34</v>
      </c>
      <c r="I80" s="20"/>
      <c r="J80" s="15" t="s">
        <v>35</v>
      </c>
      <c r="K80" s="15" t="s">
        <v>36</v>
      </c>
      <c r="L80" s="20" t="s">
        <v>292</v>
      </c>
      <c r="M80" s="15" t="s">
        <v>52</v>
      </c>
      <c r="N80" s="20" t="s">
        <v>293</v>
      </c>
      <c r="O80" s="15" t="s">
        <v>40</v>
      </c>
      <c r="P80" s="20" t="s">
        <v>107</v>
      </c>
      <c r="Q80" s="15" t="s">
        <v>42</v>
      </c>
      <c r="R80" s="20" t="s">
        <v>236</v>
      </c>
      <c r="S80" s="15" t="s">
        <v>34</v>
      </c>
      <c r="T80" s="15" t="s">
        <v>34</v>
      </c>
      <c r="U80" s="15" t="s">
        <v>34</v>
      </c>
      <c r="V80" s="15" t="s">
        <v>62</v>
      </c>
      <c r="W80" s="15" t="s">
        <v>63</v>
      </c>
      <c r="X80" s="15" t="s">
        <v>34</v>
      </c>
      <c r="Y80" s="42" t="s">
        <v>173</v>
      </c>
      <c r="Z80" s="43">
        <f>_xlfn.XLOOKUP(A80,Data!A77:A779,Data!C77:C779)</f>
        <v>2023</v>
      </c>
      <c r="AA80" s="43" t="str">
        <f>_xlfn.XLOOKUP(A80,Data!A77:A779,Data!E77:E779)</f>
        <v>Article</v>
      </c>
    </row>
    <row r="81" spans="1:27" ht="15.75" customHeight="1" x14ac:dyDescent="0.3">
      <c r="A81" s="15" t="s">
        <v>294</v>
      </c>
      <c r="B81" s="19" t="s">
        <v>122</v>
      </c>
      <c r="C81" s="15" t="s">
        <v>123</v>
      </c>
      <c r="D81" s="20" t="s">
        <v>124</v>
      </c>
      <c r="E81" s="21" t="s">
        <v>125</v>
      </c>
      <c r="F81" s="20"/>
      <c r="G81" s="20" t="s">
        <v>33</v>
      </c>
      <c r="H81" s="15" t="s">
        <v>42</v>
      </c>
      <c r="I81" s="20" t="s">
        <v>167</v>
      </c>
      <c r="J81" s="15" t="s">
        <v>35</v>
      </c>
      <c r="K81" s="15" t="s">
        <v>36</v>
      </c>
      <c r="L81" s="20" t="s">
        <v>168</v>
      </c>
      <c r="M81" s="15" t="s">
        <v>113</v>
      </c>
      <c r="N81" s="20" t="s">
        <v>169</v>
      </c>
      <c r="O81" s="15" t="s">
        <v>170</v>
      </c>
      <c r="P81" s="20" t="s">
        <v>55</v>
      </c>
      <c r="Q81" s="15" t="s">
        <v>34</v>
      </c>
      <c r="R81" s="20" t="s">
        <v>33</v>
      </c>
      <c r="S81" s="15" t="s">
        <v>34</v>
      </c>
      <c r="T81" s="15" t="s">
        <v>34</v>
      </c>
      <c r="U81" s="15" t="s">
        <v>42</v>
      </c>
      <c r="V81" s="15" t="s">
        <v>62</v>
      </c>
      <c r="W81" s="15" t="s">
        <v>63</v>
      </c>
      <c r="X81" s="15" t="s">
        <v>34</v>
      </c>
      <c r="Y81" s="42" t="s">
        <v>108</v>
      </c>
      <c r="Z81" s="43">
        <f>_xlfn.XLOOKUP(A81,Data!A78:A780,Data!C78:C780)</f>
        <v>2018</v>
      </c>
      <c r="AA81" s="43" t="str">
        <f>_xlfn.XLOOKUP(A81,Data!A78:A780,Data!E78:E780)</f>
        <v>Article</v>
      </c>
    </row>
    <row r="82" spans="1:27" ht="15.75" customHeight="1" x14ac:dyDescent="0.3">
      <c r="A82" s="9" t="s">
        <v>295</v>
      </c>
      <c r="B82" s="10" t="s">
        <v>31</v>
      </c>
      <c r="C82" s="9"/>
      <c r="D82" s="11"/>
      <c r="E82" s="12" t="s">
        <v>32</v>
      </c>
      <c r="F82" s="11"/>
      <c r="G82" s="11" t="s">
        <v>296</v>
      </c>
      <c r="H82" s="9" t="s">
        <v>34</v>
      </c>
      <c r="I82" s="11"/>
      <c r="J82" s="9" t="s">
        <v>35</v>
      </c>
      <c r="K82" s="9" t="s">
        <v>42</v>
      </c>
      <c r="L82" s="11" t="s">
        <v>297</v>
      </c>
      <c r="M82" s="9" t="s">
        <v>225</v>
      </c>
      <c r="N82" s="11" t="s">
        <v>298</v>
      </c>
      <c r="O82" s="9" t="s">
        <v>299</v>
      </c>
      <c r="P82" s="11" t="s">
        <v>107</v>
      </c>
      <c r="Q82" s="9" t="s">
        <v>42</v>
      </c>
      <c r="R82" s="11" t="s">
        <v>300</v>
      </c>
      <c r="S82" s="9" t="s">
        <v>42</v>
      </c>
      <c r="T82" s="9" t="s">
        <v>34</v>
      </c>
      <c r="U82" s="9" t="s">
        <v>34</v>
      </c>
      <c r="V82" s="9" t="s">
        <v>43</v>
      </c>
      <c r="W82" s="9" t="s">
        <v>44</v>
      </c>
      <c r="X82" s="9" t="s">
        <v>34</v>
      </c>
      <c r="Y82" s="40" t="s">
        <v>100</v>
      </c>
      <c r="Z82" s="43">
        <f>_xlfn.XLOOKUP(A82,Data!A79:A781,Data!C79:C781)</f>
        <v>2025</v>
      </c>
      <c r="AA82" s="43" t="str">
        <f>_xlfn.XLOOKUP(A82,Data!A79:A781,Data!E79:E781)</f>
        <v>Article</v>
      </c>
    </row>
    <row r="83" spans="1:27" ht="15.75" customHeight="1" x14ac:dyDescent="0.3">
      <c r="A83" s="13" t="s">
        <v>301</v>
      </c>
      <c r="B83" s="10" t="s">
        <v>31</v>
      </c>
      <c r="C83" s="13"/>
      <c r="D83" s="14"/>
      <c r="E83" s="12" t="s">
        <v>32</v>
      </c>
      <c r="F83" s="14"/>
      <c r="G83" s="14" t="s">
        <v>92</v>
      </c>
      <c r="H83" s="13" t="s">
        <v>34</v>
      </c>
      <c r="I83" s="14"/>
      <c r="J83" s="13" t="s">
        <v>302</v>
      </c>
      <c r="K83" s="13" t="s">
        <v>42</v>
      </c>
      <c r="L83" s="14" t="s">
        <v>303</v>
      </c>
      <c r="M83" s="13" t="s">
        <v>225</v>
      </c>
      <c r="N83" s="14" t="s">
        <v>304</v>
      </c>
      <c r="O83" s="13" t="s">
        <v>305</v>
      </c>
      <c r="P83" s="14" t="s">
        <v>107</v>
      </c>
      <c r="Q83" s="13" t="s">
        <v>42</v>
      </c>
      <c r="R83" s="14" t="s">
        <v>181</v>
      </c>
      <c r="S83" s="13" t="s">
        <v>42</v>
      </c>
      <c r="T83" s="13" t="s">
        <v>34</v>
      </c>
      <c r="U83" s="13" t="s">
        <v>34</v>
      </c>
      <c r="V83" s="13" t="s">
        <v>62</v>
      </c>
      <c r="W83" s="13" t="s">
        <v>63</v>
      </c>
      <c r="X83" s="13" t="s">
        <v>34</v>
      </c>
      <c r="Y83" s="41" t="s">
        <v>306</v>
      </c>
      <c r="Z83" s="43">
        <f>_xlfn.XLOOKUP(A83,Data!A80:A782,Data!C80:C782)</f>
        <v>2015</v>
      </c>
      <c r="AA83" s="43" t="str">
        <f>_xlfn.XLOOKUP(A83,Data!A80:A782,Data!E80:E782)</f>
        <v>Article</v>
      </c>
    </row>
    <row r="84" spans="1:27" ht="15.75" customHeight="1" x14ac:dyDescent="0.3">
      <c r="A84" s="9" t="s">
        <v>307</v>
      </c>
      <c r="B84" s="10" t="s">
        <v>31</v>
      </c>
      <c r="C84" s="9"/>
      <c r="D84" s="11"/>
      <c r="E84" s="12" t="s">
        <v>32</v>
      </c>
      <c r="F84" s="11"/>
      <c r="G84" s="11" t="s">
        <v>49</v>
      </c>
      <c r="H84" s="9" t="s">
        <v>42</v>
      </c>
      <c r="I84" s="11" t="s">
        <v>308</v>
      </c>
      <c r="J84" s="9" t="s">
        <v>35</v>
      </c>
      <c r="K84" s="9" t="s">
        <v>34</v>
      </c>
      <c r="L84" s="11"/>
      <c r="M84" s="9" t="s">
        <v>309</v>
      </c>
      <c r="N84" s="11" t="s">
        <v>310</v>
      </c>
      <c r="O84" s="9" t="s">
        <v>40</v>
      </c>
      <c r="P84" s="11" t="s">
        <v>55</v>
      </c>
      <c r="Q84" s="9" t="s">
        <v>42</v>
      </c>
      <c r="R84" s="11" t="s">
        <v>311</v>
      </c>
      <c r="S84" s="9" t="s">
        <v>34</v>
      </c>
      <c r="T84" s="9" t="s">
        <v>42</v>
      </c>
      <c r="U84" s="9" t="s">
        <v>34</v>
      </c>
      <c r="V84" s="9" t="s">
        <v>33</v>
      </c>
      <c r="W84" s="9" t="s">
        <v>33</v>
      </c>
      <c r="X84" s="9" t="s">
        <v>34</v>
      </c>
      <c r="Y84" s="40" t="s">
        <v>33</v>
      </c>
      <c r="Z84" s="43">
        <f>_xlfn.XLOOKUP(A84,Data!A81:A783,Data!C81:C783)</f>
        <v>2024</v>
      </c>
      <c r="AA84" s="43" t="str">
        <f>_xlfn.XLOOKUP(A84,Data!A81:A783,Data!E81:E783)</f>
        <v>Article</v>
      </c>
    </row>
    <row r="85" spans="1:27" ht="15.75" customHeight="1" x14ac:dyDescent="0.3">
      <c r="A85" s="13" t="s">
        <v>312</v>
      </c>
      <c r="B85" s="10" t="s">
        <v>31</v>
      </c>
      <c r="C85" s="13"/>
      <c r="D85" s="14"/>
      <c r="E85" s="16" t="s">
        <v>161</v>
      </c>
      <c r="F85" s="14"/>
      <c r="G85" s="14" t="s">
        <v>33</v>
      </c>
      <c r="H85" s="13" t="s">
        <v>34</v>
      </c>
      <c r="I85" s="14"/>
      <c r="J85" s="13" t="s">
        <v>35</v>
      </c>
      <c r="K85" s="13" t="s">
        <v>42</v>
      </c>
      <c r="L85" s="14" t="s">
        <v>313</v>
      </c>
      <c r="M85" s="13" t="s">
        <v>314</v>
      </c>
      <c r="N85" s="14" t="s">
        <v>315</v>
      </c>
      <c r="O85" s="13" t="s">
        <v>40</v>
      </c>
      <c r="P85" s="14" t="s">
        <v>107</v>
      </c>
      <c r="Q85" s="13" t="s">
        <v>42</v>
      </c>
      <c r="R85" s="14" t="s">
        <v>316</v>
      </c>
      <c r="S85" s="13" t="s">
        <v>34</v>
      </c>
      <c r="T85" s="13" t="s">
        <v>34</v>
      </c>
      <c r="U85" s="13" t="s">
        <v>34</v>
      </c>
      <c r="V85" s="13" t="s">
        <v>43</v>
      </c>
      <c r="W85" s="13" t="s">
        <v>33</v>
      </c>
      <c r="X85" s="13" t="s">
        <v>34</v>
      </c>
      <c r="Y85" s="41" t="s">
        <v>33</v>
      </c>
      <c r="Z85" s="43">
        <f>_xlfn.XLOOKUP(A85,Data!A82:A784,Data!C82:C784)</f>
        <v>2023</v>
      </c>
      <c r="AA85" s="43" t="str">
        <f>_xlfn.XLOOKUP(A85,Data!A82:A784,Data!E82:E784)</f>
        <v>Article</v>
      </c>
    </row>
    <row r="86" spans="1:27" ht="15.75" customHeight="1" x14ac:dyDescent="0.3">
      <c r="A86" s="9" t="s">
        <v>317</v>
      </c>
      <c r="B86" s="10" t="s">
        <v>31</v>
      </c>
      <c r="C86" s="9"/>
      <c r="D86" s="11"/>
      <c r="E86" s="15" t="s">
        <v>47</v>
      </c>
      <c r="F86" s="11" t="s">
        <v>318</v>
      </c>
      <c r="G86" s="11" t="s">
        <v>49</v>
      </c>
      <c r="H86" s="9" t="s">
        <v>34</v>
      </c>
      <c r="I86" s="11"/>
      <c r="J86" s="9" t="s">
        <v>35</v>
      </c>
      <c r="K86" s="9" t="s">
        <v>42</v>
      </c>
      <c r="L86" s="11" t="s">
        <v>313</v>
      </c>
      <c r="M86" s="9" t="s">
        <v>52</v>
      </c>
      <c r="N86" s="11" t="s">
        <v>207</v>
      </c>
      <c r="O86" s="9" t="s">
        <v>54</v>
      </c>
      <c r="P86" s="11" t="s">
        <v>107</v>
      </c>
      <c r="Q86" s="9" t="s">
        <v>42</v>
      </c>
      <c r="R86" s="11" t="s">
        <v>319</v>
      </c>
      <c r="S86" s="9" t="s">
        <v>34</v>
      </c>
      <c r="T86" s="9" t="s">
        <v>42</v>
      </c>
      <c r="U86" s="9" t="s">
        <v>34</v>
      </c>
      <c r="V86" s="9" t="s">
        <v>43</v>
      </c>
      <c r="W86" s="9" t="s">
        <v>44</v>
      </c>
      <c r="X86" s="9" t="s">
        <v>34</v>
      </c>
      <c r="Y86" s="40" t="s">
        <v>45</v>
      </c>
      <c r="Z86" s="43">
        <f>_xlfn.XLOOKUP(A86,Data!A83:A785,Data!C83:C785)</f>
        <v>2018</v>
      </c>
      <c r="AA86" s="43" t="str">
        <f>_xlfn.XLOOKUP(A86,Data!A83:A785,Data!E83:E785)</f>
        <v>Article</v>
      </c>
    </row>
    <row r="87" spans="1:27" ht="15.75" customHeight="1" x14ac:dyDescent="0.3">
      <c r="A87" s="13" t="s">
        <v>320</v>
      </c>
      <c r="B87" s="10" t="s">
        <v>31</v>
      </c>
      <c r="C87" s="13"/>
      <c r="D87" s="14"/>
      <c r="E87" s="12" t="s">
        <v>32</v>
      </c>
      <c r="F87" s="14"/>
      <c r="G87" s="14" t="s">
        <v>321</v>
      </c>
      <c r="H87" s="13" t="s">
        <v>42</v>
      </c>
      <c r="I87" s="14" t="s">
        <v>322</v>
      </c>
      <c r="J87" s="13" t="s">
        <v>35</v>
      </c>
      <c r="K87" s="13" t="s">
        <v>34</v>
      </c>
      <c r="L87" s="14"/>
      <c r="M87" s="13" t="s">
        <v>52</v>
      </c>
      <c r="N87" s="14" t="s">
        <v>323</v>
      </c>
      <c r="O87" s="13" t="s">
        <v>40</v>
      </c>
      <c r="P87" s="14" t="s">
        <v>55</v>
      </c>
      <c r="Q87" s="13" t="s">
        <v>42</v>
      </c>
      <c r="R87" s="14" t="s">
        <v>324</v>
      </c>
      <c r="S87" s="13" t="s">
        <v>42</v>
      </c>
      <c r="T87" s="13" t="s">
        <v>34</v>
      </c>
      <c r="U87" s="13" t="s">
        <v>34</v>
      </c>
      <c r="V87" s="13" t="s">
        <v>62</v>
      </c>
      <c r="W87" s="13" t="s">
        <v>63</v>
      </c>
      <c r="X87" s="13" t="s">
        <v>34</v>
      </c>
      <c r="Y87" s="41" t="s">
        <v>282</v>
      </c>
      <c r="Z87" s="43">
        <f>_xlfn.XLOOKUP(A87,Data!A84:A786,Data!C84:C786)</f>
        <v>2020</v>
      </c>
      <c r="AA87" s="43" t="str">
        <f>_xlfn.XLOOKUP(A87,Data!A84:A786,Data!E84:E786)</f>
        <v>Article</v>
      </c>
    </row>
    <row r="88" spans="1:27" ht="15.75" customHeight="1" x14ac:dyDescent="0.3">
      <c r="A88" s="9" t="s">
        <v>325</v>
      </c>
      <c r="B88" s="10" t="s">
        <v>31</v>
      </c>
      <c r="C88" s="9"/>
      <c r="D88" s="11"/>
      <c r="E88" s="12" t="s">
        <v>32</v>
      </c>
      <c r="F88" s="11"/>
      <c r="G88" s="11" t="s">
        <v>326</v>
      </c>
      <c r="H88" s="9" t="s">
        <v>42</v>
      </c>
      <c r="I88" s="11" t="s">
        <v>327</v>
      </c>
      <c r="J88" s="9" t="s">
        <v>35</v>
      </c>
      <c r="K88" s="9" t="s">
        <v>42</v>
      </c>
      <c r="L88" s="11" t="s">
        <v>328</v>
      </c>
      <c r="M88" s="9" t="s">
        <v>52</v>
      </c>
      <c r="N88" s="11" t="s">
        <v>329</v>
      </c>
      <c r="O88" s="9" t="s">
        <v>40</v>
      </c>
      <c r="P88" s="11" t="s">
        <v>55</v>
      </c>
      <c r="Q88" s="9" t="s">
        <v>42</v>
      </c>
      <c r="R88" s="11" t="s">
        <v>330</v>
      </c>
      <c r="S88" s="9" t="s">
        <v>34</v>
      </c>
      <c r="T88" s="9" t="s">
        <v>34</v>
      </c>
      <c r="U88" s="9" t="s">
        <v>34</v>
      </c>
      <c r="V88" s="9" t="s">
        <v>43</v>
      </c>
      <c r="W88" s="9" t="s">
        <v>44</v>
      </c>
      <c r="X88" s="9" t="s">
        <v>34</v>
      </c>
      <c r="Y88" s="40" t="s">
        <v>45</v>
      </c>
      <c r="Z88" s="43">
        <f>_xlfn.XLOOKUP(A88,Data!A85:A787,Data!C85:C787)</f>
        <v>2015</v>
      </c>
      <c r="AA88" s="43" t="str">
        <f>_xlfn.XLOOKUP(A88,Data!A85:A787,Data!E85:E787)</f>
        <v>Article</v>
      </c>
    </row>
    <row r="89" spans="1:27" ht="15.75" customHeight="1" x14ac:dyDescent="0.3">
      <c r="A89" s="13" t="s">
        <v>331</v>
      </c>
      <c r="B89" s="10" t="s">
        <v>31</v>
      </c>
      <c r="C89" s="13"/>
      <c r="D89" s="14"/>
      <c r="E89" s="12" t="s">
        <v>32</v>
      </c>
      <c r="F89" s="14"/>
      <c r="G89" s="14" t="s">
        <v>332</v>
      </c>
      <c r="H89" s="13" t="s">
        <v>42</v>
      </c>
      <c r="I89" s="14" t="s">
        <v>333</v>
      </c>
      <c r="J89" s="13" t="s">
        <v>334</v>
      </c>
      <c r="K89" s="13" t="s">
        <v>42</v>
      </c>
      <c r="L89" s="14" t="s">
        <v>335</v>
      </c>
      <c r="M89" s="13" t="s">
        <v>52</v>
      </c>
      <c r="N89" s="14" t="s">
        <v>336</v>
      </c>
      <c r="O89" s="13" t="s">
        <v>305</v>
      </c>
      <c r="P89" s="14" t="s">
        <v>337</v>
      </c>
      <c r="Q89" s="13" t="s">
        <v>42</v>
      </c>
      <c r="R89" s="14" t="s">
        <v>181</v>
      </c>
      <c r="S89" s="13" t="s">
        <v>42</v>
      </c>
      <c r="T89" s="13" t="s">
        <v>34</v>
      </c>
      <c r="U89" s="13" t="s">
        <v>42</v>
      </c>
      <c r="V89" s="13" t="s">
        <v>338</v>
      </c>
      <c r="W89" s="13" t="s">
        <v>44</v>
      </c>
      <c r="X89" s="13" t="s">
        <v>42</v>
      </c>
      <c r="Y89" s="41" t="s">
        <v>339</v>
      </c>
      <c r="Z89" s="43">
        <f>_xlfn.XLOOKUP(A89,Data!A86:A788,Data!C86:C788)</f>
        <v>2024</v>
      </c>
      <c r="AA89" s="43" t="str">
        <f>_xlfn.XLOOKUP(A89,Data!A86:A788,Data!E86:E788)</f>
        <v>Article</v>
      </c>
    </row>
    <row r="90" spans="1:27" ht="15.75" customHeight="1" x14ac:dyDescent="0.3">
      <c r="A90" s="9" t="s">
        <v>340</v>
      </c>
      <c r="B90" s="10" t="s">
        <v>31</v>
      </c>
      <c r="C90" s="9"/>
      <c r="D90" s="11"/>
      <c r="E90" s="12" t="s">
        <v>32</v>
      </c>
      <c r="F90" s="11"/>
      <c r="G90" s="11" t="s">
        <v>341</v>
      </c>
      <c r="H90" s="9" t="s">
        <v>42</v>
      </c>
      <c r="I90" s="11" t="s">
        <v>342</v>
      </c>
      <c r="J90" s="9" t="s">
        <v>35</v>
      </c>
      <c r="K90" s="9" t="s">
        <v>42</v>
      </c>
      <c r="L90" s="11" t="s">
        <v>313</v>
      </c>
      <c r="M90" s="9" t="s">
        <v>52</v>
      </c>
      <c r="N90" s="11" t="s">
        <v>343</v>
      </c>
      <c r="O90" s="9" t="s">
        <v>40</v>
      </c>
      <c r="P90" s="11" t="s">
        <v>55</v>
      </c>
      <c r="Q90" s="9" t="s">
        <v>42</v>
      </c>
      <c r="R90" s="11" t="s">
        <v>344</v>
      </c>
      <c r="S90" s="9" t="s">
        <v>42</v>
      </c>
      <c r="T90" s="9" t="s">
        <v>34</v>
      </c>
      <c r="U90" s="9" t="s">
        <v>34</v>
      </c>
      <c r="V90" s="9" t="s">
        <v>62</v>
      </c>
      <c r="W90" s="9" t="s">
        <v>63</v>
      </c>
      <c r="X90" s="9" t="s">
        <v>34</v>
      </c>
      <c r="Y90" s="40" t="s">
        <v>139</v>
      </c>
      <c r="Z90" s="43">
        <f>_xlfn.XLOOKUP(A90,Data!A87:A789,Data!C87:C789)</f>
        <v>2021</v>
      </c>
      <c r="AA90" s="43" t="str">
        <f>_xlfn.XLOOKUP(A90,Data!A87:A789,Data!E87:E789)</f>
        <v>Article</v>
      </c>
    </row>
    <row r="91" spans="1:27" ht="15.75" customHeight="1" x14ac:dyDescent="0.3">
      <c r="A91" s="13" t="s">
        <v>345</v>
      </c>
      <c r="B91" s="10" t="s">
        <v>31</v>
      </c>
      <c r="C91" s="13"/>
      <c r="D91" s="14"/>
      <c r="E91" s="12" t="s">
        <v>32</v>
      </c>
      <c r="F91" s="14"/>
      <c r="G91" s="14" t="s">
        <v>172</v>
      </c>
      <c r="H91" s="13" t="s">
        <v>42</v>
      </c>
      <c r="I91" s="14" t="s">
        <v>346</v>
      </c>
      <c r="J91" s="13" t="s">
        <v>35</v>
      </c>
      <c r="K91" s="13" t="s">
        <v>42</v>
      </c>
      <c r="L91" s="14" t="s">
        <v>347</v>
      </c>
      <c r="M91" s="13" t="s">
        <v>225</v>
      </c>
      <c r="N91" s="14" t="s">
        <v>348</v>
      </c>
      <c r="O91" s="13" t="s">
        <v>299</v>
      </c>
      <c r="P91" s="14" t="s">
        <v>55</v>
      </c>
      <c r="Q91" s="13" t="s">
        <v>42</v>
      </c>
      <c r="R91" s="14" t="s">
        <v>181</v>
      </c>
      <c r="S91" s="13" t="s">
        <v>42</v>
      </c>
      <c r="T91" s="13" t="s">
        <v>34</v>
      </c>
      <c r="U91" s="13" t="s">
        <v>34</v>
      </c>
      <c r="V91" s="13" t="s">
        <v>43</v>
      </c>
      <c r="W91" s="13" t="s">
        <v>44</v>
      </c>
      <c r="X91" s="13" t="s">
        <v>34</v>
      </c>
      <c r="Y91" s="41" t="s">
        <v>252</v>
      </c>
      <c r="Z91" s="43">
        <f>_xlfn.XLOOKUP(A91,Data!A88:A790,Data!C88:C790)</f>
        <v>2019</v>
      </c>
      <c r="AA91" s="43" t="str">
        <f>_xlfn.XLOOKUP(A91,Data!A88:A790,Data!E88:E790)</f>
        <v>Article</v>
      </c>
    </row>
    <row r="92" spans="1:27" ht="15.75" customHeight="1" x14ac:dyDescent="0.3">
      <c r="A92" s="9" t="s">
        <v>349</v>
      </c>
      <c r="B92" s="10" t="s">
        <v>31</v>
      </c>
      <c r="C92" s="9"/>
      <c r="D92" s="11"/>
      <c r="E92" s="12" t="s">
        <v>32</v>
      </c>
      <c r="F92" s="11"/>
      <c r="G92" s="11" t="s">
        <v>33</v>
      </c>
      <c r="H92" s="9" t="s">
        <v>34</v>
      </c>
      <c r="I92" s="11"/>
      <c r="J92" s="9" t="s">
        <v>35</v>
      </c>
      <c r="K92" s="9" t="s">
        <v>42</v>
      </c>
      <c r="L92" s="11" t="s">
        <v>350</v>
      </c>
      <c r="M92" s="9" t="s">
        <v>52</v>
      </c>
      <c r="N92" s="11" t="s">
        <v>351</v>
      </c>
      <c r="O92" s="9" t="s">
        <v>54</v>
      </c>
      <c r="P92" s="11" t="s">
        <v>41</v>
      </c>
      <c r="Q92" s="9" t="s">
        <v>56</v>
      </c>
      <c r="R92" s="11" t="s">
        <v>352</v>
      </c>
      <c r="S92" s="9" t="s">
        <v>42</v>
      </c>
      <c r="T92" s="9" t="s">
        <v>34</v>
      </c>
      <c r="U92" s="9" t="s">
        <v>42</v>
      </c>
      <c r="V92" s="9" t="s">
        <v>62</v>
      </c>
      <c r="W92" s="9" t="s">
        <v>44</v>
      </c>
      <c r="X92" s="9" t="s">
        <v>34</v>
      </c>
      <c r="Y92" s="40" t="s">
        <v>353</v>
      </c>
      <c r="Z92" s="43">
        <f>_xlfn.XLOOKUP(A92,Data!A89:A791,Data!C89:C791)</f>
        <v>2023</v>
      </c>
      <c r="AA92" s="43" t="str">
        <f>_xlfn.XLOOKUP(A92,Data!A89:A791,Data!E89:E791)</f>
        <v>Article</v>
      </c>
    </row>
    <row r="93" spans="1:27" ht="15.75" customHeight="1" x14ac:dyDescent="0.3">
      <c r="A93" s="13" t="s">
        <v>354</v>
      </c>
      <c r="B93" s="10" t="s">
        <v>31</v>
      </c>
      <c r="C93" s="13"/>
      <c r="D93" s="14"/>
      <c r="E93" s="12" t="s">
        <v>32</v>
      </c>
      <c r="F93" s="14"/>
      <c r="G93" s="14" t="s">
        <v>341</v>
      </c>
      <c r="H93" s="13" t="s">
        <v>42</v>
      </c>
      <c r="I93" s="14" t="s">
        <v>190</v>
      </c>
      <c r="J93" s="13" t="s">
        <v>35</v>
      </c>
      <c r="K93" s="13" t="s">
        <v>42</v>
      </c>
      <c r="L93" s="14" t="s">
        <v>355</v>
      </c>
      <c r="M93" s="13" t="s">
        <v>52</v>
      </c>
      <c r="N93" s="14" t="s">
        <v>356</v>
      </c>
      <c r="O93" s="13" t="s">
        <v>40</v>
      </c>
      <c r="P93" s="14" t="s">
        <v>55</v>
      </c>
      <c r="Q93" s="13" t="s">
        <v>33</v>
      </c>
      <c r="R93" s="14"/>
      <c r="S93" s="13" t="s">
        <v>34</v>
      </c>
      <c r="T93" s="13" t="s">
        <v>42</v>
      </c>
      <c r="U93" s="13" t="s">
        <v>34</v>
      </c>
      <c r="V93" s="13" t="s">
        <v>43</v>
      </c>
      <c r="W93" s="13" t="s">
        <v>44</v>
      </c>
      <c r="X93" s="13" t="s">
        <v>34</v>
      </c>
      <c r="Y93" s="41" t="s">
        <v>45</v>
      </c>
      <c r="Z93" s="43">
        <f>_xlfn.XLOOKUP(A93,Data!A90:A792,Data!C90:C792)</f>
        <v>2022</v>
      </c>
      <c r="AA93" s="43" t="str">
        <f>_xlfn.XLOOKUP(A93,Data!A90:A792,Data!E90:E792)</f>
        <v>Article</v>
      </c>
    </row>
    <row r="94" spans="1:27" ht="15.75" customHeight="1" x14ac:dyDescent="0.3">
      <c r="A94" s="9" t="s">
        <v>357</v>
      </c>
      <c r="B94" s="10" t="s">
        <v>31</v>
      </c>
      <c r="C94" s="9"/>
      <c r="D94" s="11"/>
      <c r="E94" s="12" t="s">
        <v>32</v>
      </c>
      <c r="F94" s="11"/>
      <c r="G94" s="11" t="s">
        <v>296</v>
      </c>
      <c r="H94" s="9" t="s">
        <v>34</v>
      </c>
      <c r="I94" s="11"/>
      <c r="J94" s="9" t="s">
        <v>126</v>
      </c>
      <c r="K94" s="9" t="s">
        <v>42</v>
      </c>
      <c r="L94" s="11" t="s">
        <v>358</v>
      </c>
      <c r="M94" s="9" t="s">
        <v>225</v>
      </c>
      <c r="N94" s="11" t="s">
        <v>359</v>
      </c>
      <c r="O94" s="9" t="s">
        <v>54</v>
      </c>
      <c r="P94" s="11" t="s">
        <v>164</v>
      </c>
      <c r="Q94" s="9" t="s">
        <v>42</v>
      </c>
      <c r="R94" s="11" t="s">
        <v>360</v>
      </c>
      <c r="S94" s="9" t="s">
        <v>34</v>
      </c>
      <c r="T94" s="9" t="s">
        <v>34</v>
      </c>
      <c r="U94" s="9" t="s">
        <v>34</v>
      </c>
      <c r="V94" s="9" t="s">
        <v>43</v>
      </c>
      <c r="W94" s="9" t="s">
        <v>44</v>
      </c>
      <c r="X94" s="9" t="s">
        <v>34</v>
      </c>
      <c r="Y94" s="40" t="s">
        <v>45</v>
      </c>
      <c r="Z94" s="43">
        <f>_xlfn.XLOOKUP(A94,Data!A91:A793,Data!C91:C793)</f>
        <v>2020</v>
      </c>
      <c r="AA94" s="43" t="str">
        <f>_xlfn.XLOOKUP(A94,Data!A91:A793,Data!E91:E793)</f>
        <v>Article</v>
      </c>
    </row>
    <row r="95" spans="1:27" ht="15.75" customHeight="1" x14ac:dyDescent="0.3">
      <c r="A95" s="13" t="s">
        <v>361</v>
      </c>
      <c r="B95" s="10" t="s">
        <v>31</v>
      </c>
      <c r="C95" s="13"/>
      <c r="D95" s="14"/>
      <c r="E95" s="12" t="s">
        <v>32</v>
      </c>
      <c r="F95" s="14"/>
      <c r="G95" s="14" t="s">
        <v>172</v>
      </c>
      <c r="H95" s="13" t="s">
        <v>34</v>
      </c>
      <c r="I95" s="14"/>
      <c r="J95" s="13" t="s">
        <v>35</v>
      </c>
      <c r="K95" s="13" t="s">
        <v>42</v>
      </c>
      <c r="L95" s="14" t="s">
        <v>362</v>
      </c>
      <c r="M95" s="13" t="s">
        <v>52</v>
      </c>
      <c r="N95" s="14" t="s">
        <v>363</v>
      </c>
      <c r="O95" s="13" t="s">
        <v>54</v>
      </c>
      <c r="P95" s="14" t="s">
        <v>164</v>
      </c>
      <c r="Q95" s="13" t="s">
        <v>42</v>
      </c>
      <c r="R95" s="14" t="s">
        <v>364</v>
      </c>
      <c r="S95" s="13" t="s">
        <v>42</v>
      </c>
      <c r="T95" s="13" t="s">
        <v>34</v>
      </c>
      <c r="U95" s="13" t="s">
        <v>34</v>
      </c>
      <c r="V95" s="13" t="s">
        <v>338</v>
      </c>
      <c r="W95" s="13" t="s">
        <v>44</v>
      </c>
      <c r="X95" s="13" t="s">
        <v>42</v>
      </c>
      <c r="Y95" s="41" t="s">
        <v>365</v>
      </c>
      <c r="Z95" s="43">
        <f>_xlfn.XLOOKUP(A95,Data!A92:A794,Data!C92:C794)</f>
        <v>2020</v>
      </c>
      <c r="AA95" s="43" t="str">
        <f>_xlfn.XLOOKUP(A95,Data!A92:A794,Data!E92:E794)</f>
        <v>Article</v>
      </c>
    </row>
    <row r="96" spans="1:27" ht="15.75" customHeight="1" x14ac:dyDescent="0.3">
      <c r="A96" s="9" t="s">
        <v>366</v>
      </c>
      <c r="B96" s="10" t="s">
        <v>31</v>
      </c>
      <c r="C96" s="9"/>
      <c r="D96" s="11"/>
      <c r="E96" s="12" t="s">
        <v>32</v>
      </c>
      <c r="F96" s="11"/>
      <c r="G96" s="11" t="s">
        <v>367</v>
      </c>
      <c r="H96" s="9" t="s">
        <v>34</v>
      </c>
      <c r="I96" s="11"/>
      <c r="J96" s="9" t="s">
        <v>35</v>
      </c>
      <c r="K96" s="9" t="s">
        <v>42</v>
      </c>
      <c r="L96" s="11" t="s">
        <v>368</v>
      </c>
      <c r="M96" s="9" t="s">
        <v>52</v>
      </c>
      <c r="N96" s="11" t="s">
        <v>369</v>
      </c>
      <c r="O96" s="9" t="s">
        <v>54</v>
      </c>
      <c r="P96" s="11" t="s">
        <v>107</v>
      </c>
      <c r="Q96" s="9" t="s">
        <v>42</v>
      </c>
      <c r="R96" s="11" t="s">
        <v>370</v>
      </c>
      <c r="S96" s="9" t="s">
        <v>42</v>
      </c>
      <c r="T96" s="9" t="s">
        <v>42</v>
      </c>
      <c r="U96" s="9" t="s">
        <v>34</v>
      </c>
      <c r="V96" s="9" t="s">
        <v>43</v>
      </c>
      <c r="W96" s="9" t="s">
        <v>44</v>
      </c>
      <c r="X96" s="9" t="s">
        <v>34</v>
      </c>
      <c r="Y96" s="40" t="s">
        <v>45</v>
      </c>
      <c r="Z96" s="43">
        <f>_xlfn.XLOOKUP(A96,Data!A93:A795,Data!C93:C795)</f>
        <v>2025</v>
      </c>
      <c r="AA96" s="43" t="str">
        <f>_xlfn.XLOOKUP(A96,Data!A93:A795,Data!E93:E795)</f>
        <v>Article</v>
      </c>
    </row>
    <row r="97" spans="1:27" ht="15.75" customHeight="1" x14ac:dyDescent="0.3">
      <c r="A97" s="13" t="s">
        <v>371</v>
      </c>
      <c r="B97" s="10" t="s">
        <v>31</v>
      </c>
      <c r="C97" s="13"/>
      <c r="D97" s="14"/>
      <c r="E97" s="9" t="s">
        <v>70</v>
      </c>
      <c r="F97" s="14"/>
      <c r="G97" s="14" t="s">
        <v>372</v>
      </c>
      <c r="H97" s="13" t="s">
        <v>34</v>
      </c>
      <c r="I97" s="14"/>
      <c r="J97" s="13" t="s">
        <v>35</v>
      </c>
      <c r="K97" s="13" t="s">
        <v>42</v>
      </c>
      <c r="L97" s="14" t="s">
        <v>313</v>
      </c>
      <c r="M97" s="13" t="s">
        <v>314</v>
      </c>
      <c r="N97" s="14" t="s">
        <v>373</v>
      </c>
      <c r="O97" s="13" t="s">
        <v>40</v>
      </c>
      <c r="P97" s="14" t="s">
        <v>107</v>
      </c>
      <c r="Q97" s="13" t="s">
        <v>42</v>
      </c>
      <c r="R97" s="14" t="s">
        <v>374</v>
      </c>
      <c r="S97" s="13" t="s">
        <v>34</v>
      </c>
      <c r="T97" s="13" t="s">
        <v>42</v>
      </c>
      <c r="U97" s="13" t="s">
        <v>34</v>
      </c>
      <c r="V97" s="13" t="s">
        <v>62</v>
      </c>
      <c r="W97" s="13" t="s">
        <v>63</v>
      </c>
      <c r="X97" s="13" t="s">
        <v>34</v>
      </c>
      <c r="Y97" s="41" t="s">
        <v>173</v>
      </c>
      <c r="Z97" s="43">
        <f>_xlfn.XLOOKUP(A97,Data!A94:A796,Data!C94:C796)</f>
        <v>2023</v>
      </c>
      <c r="AA97" s="43" t="str">
        <f>_xlfn.XLOOKUP(A97,Data!A94:A796,Data!E94:E796)</f>
        <v>Article</v>
      </c>
    </row>
    <row r="98" spans="1:27" ht="15.75" customHeight="1" x14ac:dyDescent="0.3">
      <c r="A98" s="9" t="s">
        <v>375</v>
      </c>
      <c r="B98" s="10" t="s">
        <v>31</v>
      </c>
      <c r="C98" s="9"/>
      <c r="D98" s="11"/>
      <c r="E98" s="12" t="s">
        <v>32</v>
      </c>
      <c r="F98" s="11"/>
      <c r="G98" s="11" t="s">
        <v>376</v>
      </c>
      <c r="H98" s="9" t="s">
        <v>34</v>
      </c>
      <c r="I98" s="11"/>
      <c r="J98" s="9" t="s">
        <v>377</v>
      </c>
      <c r="K98" s="9" t="s">
        <v>42</v>
      </c>
      <c r="L98" s="11" t="s">
        <v>378</v>
      </c>
      <c r="M98" s="9" t="s">
        <v>113</v>
      </c>
      <c r="N98" s="11" t="s">
        <v>379</v>
      </c>
      <c r="O98" s="9" t="s">
        <v>305</v>
      </c>
      <c r="P98" s="11" t="s">
        <v>107</v>
      </c>
      <c r="Q98" s="9" t="s">
        <v>42</v>
      </c>
      <c r="R98" s="11" t="s">
        <v>380</v>
      </c>
      <c r="S98" s="9" t="s">
        <v>42</v>
      </c>
      <c r="T98" s="9" t="s">
        <v>42</v>
      </c>
      <c r="U98" s="9" t="s">
        <v>34</v>
      </c>
      <c r="V98" s="9" t="s">
        <v>338</v>
      </c>
      <c r="W98" s="9" t="s">
        <v>44</v>
      </c>
      <c r="X98" s="9" t="s">
        <v>42</v>
      </c>
      <c r="Y98" s="40" t="s">
        <v>381</v>
      </c>
      <c r="Z98" s="43">
        <f>_xlfn.XLOOKUP(A98,Data!A95:A797,Data!C95:C797)</f>
        <v>2025</v>
      </c>
      <c r="AA98" s="43" t="str">
        <f>_xlfn.XLOOKUP(A98,Data!A95:A797,Data!E95:E797)</f>
        <v>Article</v>
      </c>
    </row>
    <row r="99" spans="1:27" ht="15.75" customHeight="1" x14ac:dyDescent="0.3">
      <c r="A99" s="13" t="s">
        <v>382</v>
      </c>
      <c r="B99" s="10" t="s">
        <v>31</v>
      </c>
      <c r="C99" s="13"/>
      <c r="D99" s="14"/>
      <c r="E99" s="9" t="s">
        <v>70</v>
      </c>
      <c r="F99" s="14"/>
      <c r="G99" s="14" t="s">
        <v>49</v>
      </c>
      <c r="H99" s="13" t="s">
        <v>42</v>
      </c>
      <c r="I99" s="14" t="s">
        <v>383</v>
      </c>
      <c r="J99" s="13" t="s">
        <v>35</v>
      </c>
      <c r="K99" s="13" t="s">
        <v>42</v>
      </c>
      <c r="L99" s="14" t="s">
        <v>313</v>
      </c>
      <c r="M99" s="13" t="s">
        <v>52</v>
      </c>
      <c r="N99" s="14" t="s">
        <v>384</v>
      </c>
      <c r="O99" s="13" t="s">
        <v>40</v>
      </c>
      <c r="P99" s="14" t="s">
        <v>55</v>
      </c>
      <c r="Q99" s="13" t="s">
        <v>42</v>
      </c>
      <c r="R99" s="14" t="s">
        <v>385</v>
      </c>
      <c r="S99" s="13" t="s">
        <v>34</v>
      </c>
      <c r="T99" s="13" t="s">
        <v>42</v>
      </c>
      <c r="U99" s="13" t="s">
        <v>34</v>
      </c>
      <c r="V99" s="13" t="s">
        <v>43</v>
      </c>
      <c r="W99" s="13" t="s">
        <v>33</v>
      </c>
      <c r="X99" s="13" t="s">
        <v>34</v>
      </c>
      <c r="Y99" s="41" t="s">
        <v>33</v>
      </c>
      <c r="Z99" s="43">
        <f>_xlfn.XLOOKUP(A99,Data!A96:A798,Data!C96:C798)</f>
        <v>2025</v>
      </c>
      <c r="AA99" s="43" t="str">
        <f>_xlfn.XLOOKUP(A99,Data!A96:A798,Data!E96:E798)</f>
        <v>Article</v>
      </c>
    </row>
    <row r="100" spans="1:27" ht="15.75" customHeight="1" x14ac:dyDescent="0.3">
      <c r="A100" s="9" t="s">
        <v>386</v>
      </c>
      <c r="B100" s="10" t="s">
        <v>31</v>
      </c>
      <c r="C100" s="9"/>
      <c r="D100" s="11"/>
      <c r="E100" s="12" t="s">
        <v>32</v>
      </c>
      <c r="F100" s="11"/>
      <c r="G100" s="11" t="s">
        <v>172</v>
      </c>
      <c r="H100" s="9" t="s">
        <v>42</v>
      </c>
      <c r="I100" s="11" t="s">
        <v>387</v>
      </c>
      <c r="J100" s="9" t="s">
        <v>35</v>
      </c>
      <c r="K100" s="9" t="s">
        <v>42</v>
      </c>
      <c r="L100" s="11" t="s">
        <v>388</v>
      </c>
      <c r="M100" s="9" t="s">
        <v>225</v>
      </c>
      <c r="N100" s="11" t="s">
        <v>389</v>
      </c>
      <c r="O100" s="9" t="s">
        <v>299</v>
      </c>
      <c r="P100" s="11" t="s">
        <v>55</v>
      </c>
      <c r="Q100" s="9" t="s">
        <v>42</v>
      </c>
      <c r="R100" s="11" t="s">
        <v>181</v>
      </c>
      <c r="S100" s="9" t="s">
        <v>34</v>
      </c>
      <c r="T100" s="9" t="s">
        <v>42</v>
      </c>
      <c r="U100" s="9" t="s">
        <v>34</v>
      </c>
      <c r="V100" s="9" t="s">
        <v>95</v>
      </c>
      <c r="W100" s="9" t="s">
        <v>44</v>
      </c>
      <c r="X100" s="9" t="s">
        <v>34</v>
      </c>
      <c r="Y100" s="40" t="s">
        <v>96</v>
      </c>
      <c r="Z100" s="43">
        <f>_xlfn.XLOOKUP(A100,Data!A97:A799,Data!C97:C799)</f>
        <v>2022</v>
      </c>
      <c r="AA100" s="43" t="str">
        <f>_xlfn.XLOOKUP(A100,Data!A97:A799,Data!E97:E799)</f>
        <v>Article</v>
      </c>
    </row>
    <row r="101" spans="1:27" ht="15.75" customHeight="1" x14ac:dyDescent="0.3">
      <c r="A101" s="13" t="s">
        <v>390</v>
      </c>
      <c r="B101" s="10" t="s">
        <v>31</v>
      </c>
      <c r="C101" s="13"/>
      <c r="D101" s="14"/>
      <c r="E101" s="12" t="s">
        <v>32</v>
      </c>
      <c r="F101" s="14"/>
      <c r="G101" s="14" t="s">
        <v>391</v>
      </c>
      <c r="H101" s="13" t="s">
        <v>34</v>
      </c>
      <c r="I101" s="14"/>
      <c r="J101" s="13" t="s">
        <v>35</v>
      </c>
      <c r="K101" s="13" t="s">
        <v>42</v>
      </c>
      <c r="L101" s="14" t="s">
        <v>392</v>
      </c>
      <c r="M101" s="13" t="s">
        <v>314</v>
      </c>
      <c r="N101" s="14" t="s">
        <v>393</v>
      </c>
      <c r="O101" s="13" t="s">
        <v>40</v>
      </c>
      <c r="P101" s="14" t="s">
        <v>107</v>
      </c>
      <c r="Q101" s="13" t="s">
        <v>42</v>
      </c>
      <c r="R101" s="14" t="s">
        <v>236</v>
      </c>
      <c r="S101" s="13" t="s">
        <v>34</v>
      </c>
      <c r="T101" s="13" t="s">
        <v>34</v>
      </c>
      <c r="U101" s="13" t="s">
        <v>34</v>
      </c>
      <c r="V101" s="13" t="s">
        <v>62</v>
      </c>
      <c r="W101" s="13" t="s">
        <v>63</v>
      </c>
      <c r="X101" s="13" t="s">
        <v>34</v>
      </c>
      <c r="Y101" s="41" t="s">
        <v>108</v>
      </c>
      <c r="Z101" s="43">
        <f>_xlfn.XLOOKUP(A101,Data!A98:A800,Data!C98:C800)</f>
        <v>2017</v>
      </c>
      <c r="AA101" s="43" t="str">
        <f>_xlfn.XLOOKUP(A101,Data!A98:A800,Data!E98:E800)</f>
        <v>Article</v>
      </c>
    </row>
    <row r="102" spans="1:27" ht="15.75" customHeight="1" x14ac:dyDescent="0.3">
      <c r="A102" s="9" t="s">
        <v>394</v>
      </c>
      <c r="B102" s="10" t="s">
        <v>31</v>
      </c>
      <c r="C102" s="9"/>
      <c r="D102" s="11"/>
      <c r="E102" s="12" t="s">
        <v>32</v>
      </c>
      <c r="F102" s="11"/>
      <c r="G102" s="11" t="s">
        <v>49</v>
      </c>
      <c r="H102" s="9" t="s">
        <v>42</v>
      </c>
      <c r="I102" s="11" t="s">
        <v>395</v>
      </c>
      <c r="J102" s="9" t="s">
        <v>83</v>
      </c>
      <c r="K102" s="9" t="s">
        <v>42</v>
      </c>
      <c r="L102" s="11" t="s">
        <v>396</v>
      </c>
      <c r="M102" s="9" t="s">
        <v>52</v>
      </c>
      <c r="N102" s="11" t="s">
        <v>397</v>
      </c>
      <c r="O102" s="9" t="s">
        <v>305</v>
      </c>
      <c r="P102" s="11" t="s">
        <v>55</v>
      </c>
      <c r="Q102" s="9" t="s">
        <v>42</v>
      </c>
      <c r="R102" s="11" t="s">
        <v>132</v>
      </c>
      <c r="S102" s="9" t="s">
        <v>34</v>
      </c>
      <c r="T102" s="9" t="s">
        <v>42</v>
      </c>
      <c r="U102" s="9" t="s">
        <v>34</v>
      </c>
      <c r="V102" s="9" t="s">
        <v>62</v>
      </c>
      <c r="W102" s="9" t="s">
        <v>63</v>
      </c>
      <c r="X102" s="9" t="s">
        <v>34</v>
      </c>
      <c r="Y102" s="40" t="s">
        <v>90</v>
      </c>
      <c r="Z102" s="43">
        <f>_xlfn.XLOOKUP(A102,Data!A99:A801,Data!C99:C801)</f>
        <v>2023</v>
      </c>
      <c r="AA102" s="43" t="str">
        <f>_xlfn.XLOOKUP(A102,Data!A99:A801,Data!E99:E801)</f>
        <v>Article</v>
      </c>
    </row>
    <row r="103" spans="1:27" ht="15.75" customHeight="1" x14ac:dyDescent="0.3">
      <c r="A103" s="13" t="s">
        <v>398</v>
      </c>
      <c r="B103" s="10" t="s">
        <v>31</v>
      </c>
      <c r="C103" s="13"/>
      <c r="D103" s="14"/>
      <c r="E103" s="12" t="s">
        <v>32</v>
      </c>
      <c r="F103" s="14"/>
      <c r="G103" s="14" t="s">
        <v>172</v>
      </c>
      <c r="H103" s="13" t="s">
        <v>42</v>
      </c>
      <c r="I103" s="14" t="s">
        <v>399</v>
      </c>
      <c r="J103" s="13" t="s">
        <v>35</v>
      </c>
      <c r="K103" s="13" t="s">
        <v>42</v>
      </c>
      <c r="L103" s="14" t="s">
        <v>400</v>
      </c>
      <c r="M103" s="13" t="s">
        <v>113</v>
      </c>
      <c r="N103" s="14" t="s">
        <v>401</v>
      </c>
      <c r="O103" s="13" t="s">
        <v>54</v>
      </c>
      <c r="P103" s="14" t="s">
        <v>55</v>
      </c>
      <c r="Q103" s="13" t="s">
        <v>42</v>
      </c>
      <c r="R103" s="14" t="s">
        <v>33</v>
      </c>
      <c r="S103" s="13" t="s">
        <v>42</v>
      </c>
      <c r="T103" s="13" t="s">
        <v>34</v>
      </c>
      <c r="U103" s="13" t="s">
        <v>34</v>
      </c>
      <c r="V103" s="13" t="s">
        <v>43</v>
      </c>
      <c r="W103" s="13" t="s">
        <v>44</v>
      </c>
      <c r="X103" s="13" t="s">
        <v>34</v>
      </c>
      <c r="Y103" s="41" t="s">
        <v>45</v>
      </c>
      <c r="Z103" s="43">
        <f>_xlfn.XLOOKUP(A103,Data!A100:A802,Data!C100:C802)</f>
        <v>2016</v>
      </c>
      <c r="AA103" s="43" t="str">
        <f>_xlfn.XLOOKUP(A103,Data!A100:A802,Data!E100:E802)</f>
        <v>Article</v>
      </c>
    </row>
    <row r="104" spans="1:27" ht="15.75" customHeight="1" x14ac:dyDescent="0.3">
      <c r="A104" s="15" t="s">
        <v>402</v>
      </c>
      <c r="B104" s="19" t="s">
        <v>122</v>
      </c>
      <c r="C104" s="15" t="s">
        <v>403</v>
      </c>
      <c r="D104" s="20" t="s">
        <v>404</v>
      </c>
      <c r="E104" s="12" t="s">
        <v>32</v>
      </c>
      <c r="F104" s="20"/>
      <c r="G104" s="20" t="s">
        <v>405</v>
      </c>
      <c r="H104" s="15" t="s">
        <v>42</v>
      </c>
      <c r="I104" s="20" t="s">
        <v>406</v>
      </c>
      <c r="J104" s="15" t="s">
        <v>126</v>
      </c>
      <c r="K104" s="15" t="s">
        <v>42</v>
      </c>
      <c r="L104" s="20" t="s">
        <v>313</v>
      </c>
      <c r="M104" s="15" t="s">
        <v>52</v>
      </c>
      <c r="N104" s="20" t="s">
        <v>407</v>
      </c>
      <c r="O104" s="15" t="s">
        <v>40</v>
      </c>
      <c r="P104" s="20" t="s">
        <v>408</v>
      </c>
      <c r="Q104" s="15" t="s">
        <v>42</v>
      </c>
      <c r="R104" s="20" t="s">
        <v>409</v>
      </c>
      <c r="S104" s="15" t="s">
        <v>42</v>
      </c>
      <c r="T104" s="15" t="s">
        <v>34</v>
      </c>
      <c r="U104" s="15" t="s">
        <v>42</v>
      </c>
      <c r="V104" s="15" t="s">
        <v>33</v>
      </c>
      <c r="W104" s="15" t="s">
        <v>33</v>
      </c>
      <c r="X104" s="15" t="s">
        <v>34</v>
      </c>
      <c r="Y104" s="42" t="s">
        <v>33</v>
      </c>
      <c r="Z104" s="43">
        <f>_xlfn.XLOOKUP(A104,Data!A101:A803,Data!C101:C803)</f>
        <v>2025</v>
      </c>
      <c r="AA104" s="43" t="str">
        <f>_xlfn.XLOOKUP(A104,Data!A101:A803,Data!E101:E803)</f>
        <v>Article</v>
      </c>
    </row>
    <row r="105" spans="1:27" ht="15.75" customHeight="1" x14ac:dyDescent="0.3">
      <c r="A105" s="13" t="s">
        <v>410</v>
      </c>
      <c r="B105" s="10" t="s">
        <v>31</v>
      </c>
      <c r="C105" s="13"/>
      <c r="D105" s="14"/>
      <c r="E105" s="12" t="s">
        <v>32</v>
      </c>
      <c r="F105" s="14"/>
      <c r="G105" s="14" t="s">
        <v>33</v>
      </c>
      <c r="H105" s="13" t="s">
        <v>34</v>
      </c>
      <c r="I105" s="14"/>
      <c r="J105" s="13" t="s">
        <v>35</v>
      </c>
      <c r="K105" s="13" t="s">
        <v>42</v>
      </c>
      <c r="L105" s="14" t="s">
        <v>411</v>
      </c>
      <c r="M105" s="13" t="s">
        <v>309</v>
      </c>
      <c r="N105" s="14" t="s">
        <v>412</v>
      </c>
      <c r="O105" s="13" t="s">
        <v>40</v>
      </c>
      <c r="P105" s="14" t="s">
        <v>337</v>
      </c>
      <c r="Q105" s="13" t="s">
        <v>42</v>
      </c>
      <c r="R105" s="14" t="s">
        <v>413</v>
      </c>
      <c r="S105" s="13" t="s">
        <v>42</v>
      </c>
      <c r="T105" s="13" t="s">
        <v>34</v>
      </c>
      <c r="U105" s="13" t="s">
        <v>42</v>
      </c>
      <c r="V105" s="13" t="s">
        <v>62</v>
      </c>
      <c r="W105" s="13" t="s">
        <v>63</v>
      </c>
      <c r="X105" s="13" t="s">
        <v>34</v>
      </c>
      <c r="Y105" s="41" t="s">
        <v>173</v>
      </c>
      <c r="Z105" s="43">
        <f>_xlfn.XLOOKUP(A105,Data!A102:A804,Data!C102:C804)</f>
        <v>2025</v>
      </c>
      <c r="AA105" s="43" t="str">
        <f>_xlfn.XLOOKUP(A105,Data!A102:A804,Data!E102:E804)</f>
        <v>Article</v>
      </c>
    </row>
    <row r="106" spans="1:27" ht="15.75" customHeight="1" x14ac:dyDescent="0.3">
      <c r="A106" s="9" t="s">
        <v>414</v>
      </c>
      <c r="B106" s="10" t="s">
        <v>31</v>
      </c>
      <c r="C106" s="9"/>
      <c r="D106" s="11"/>
      <c r="E106" s="12" t="s">
        <v>32</v>
      </c>
      <c r="F106" s="11"/>
      <c r="G106" s="11" t="s">
        <v>105</v>
      </c>
      <c r="H106" s="9" t="s">
        <v>34</v>
      </c>
      <c r="I106" s="11"/>
      <c r="J106" s="9" t="s">
        <v>35</v>
      </c>
      <c r="K106" s="9" t="s">
        <v>34</v>
      </c>
      <c r="L106" s="11"/>
      <c r="M106" s="9" t="s">
        <v>113</v>
      </c>
      <c r="N106" s="11" t="s">
        <v>415</v>
      </c>
      <c r="O106" s="9" t="s">
        <v>305</v>
      </c>
      <c r="P106" s="11" t="s">
        <v>337</v>
      </c>
      <c r="Q106" s="9" t="s">
        <v>33</v>
      </c>
      <c r="R106" s="11"/>
      <c r="S106" s="9" t="s">
        <v>42</v>
      </c>
      <c r="T106" s="9" t="s">
        <v>34</v>
      </c>
      <c r="U106" s="9" t="s">
        <v>42</v>
      </c>
      <c r="V106" s="9" t="s">
        <v>62</v>
      </c>
      <c r="W106" s="9" t="s">
        <v>33</v>
      </c>
      <c r="X106" s="9" t="s">
        <v>34</v>
      </c>
      <c r="Y106" s="40" t="s">
        <v>33</v>
      </c>
      <c r="Z106" s="43">
        <f>_xlfn.XLOOKUP(A106,Data!A103:A805,Data!C103:C805)</f>
        <v>2025</v>
      </c>
      <c r="AA106" s="43" t="str">
        <f>_xlfn.XLOOKUP(A106,Data!A103:A805,Data!E103:E805)</f>
        <v>Article</v>
      </c>
    </row>
    <row r="107" spans="1:27" ht="15.75" customHeight="1" x14ac:dyDescent="0.3">
      <c r="A107" s="13" t="s">
        <v>416</v>
      </c>
      <c r="B107" s="10" t="s">
        <v>31</v>
      </c>
      <c r="C107" s="13"/>
      <c r="D107" s="14"/>
      <c r="E107" s="9" t="s">
        <v>70</v>
      </c>
      <c r="F107" s="14"/>
      <c r="G107" s="14" t="s">
        <v>417</v>
      </c>
      <c r="H107" s="13" t="s">
        <v>42</v>
      </c>
      <c r="I107" s="14" t="s">
        <v>418</v>
      </c>
      <c r="J107" s="13" t="s">
        <v>35</v>
      </c>
      <c r="K107" s="13" t="s">
        <v>42</v>
      </c>
      <c r="L107" s="14" t="s">
        <v>419</v>
      </c>
      <c r="M107" s="13" t="s">
        <v>52</v>
      </c>
      <c r="N107" s="14" t="s">
        <v>420</v>
      </c>
      <c r="O107" s="13" t="s">
        <v>170</v>
      </c>
      <c r="P107" s="14" t="s">
        <v>55</v>
      </c>
      <c r="Q107" s="13" t="s">
        <v>34</v>
      </c>
      <c r="R107" s="14"/>
      <c r="S107" s="13" t="s">
        <v>42</v>
      </c>
      <c r="T107" s="13" t="s">
        <v>34</v>
      </c>
      <c r="U107" s="13" t="s">
        <v>34</v>
      </c>
      <c r="V107" s="13" t="s">
        <v>43</v>
      </c>
      <c r="W107" s="13" t="s">
        <v>44</v>
      </c>
      <c r="X107" s="13" t="s">
        <v>34</v>
      </c>
      <c r="Y107" s="41" t="s">
        <v>165</v>
      </c>
      <c r="Z107" s="43">
        <f>_xlfn.XLOOKUP(A107,Data!A104:A806,Data!C104:C806)</f>
        <v>2019</v>
      </c>
      <c r="AA107" s="43" t="str">
        <f>_xlfn.XLOOKUP(A107,Data!A104:A806,Data!E104:E806)</f>
        <v>Article</v>
      </c>
    </row>
    <row r="108" spans="1:27" ht="15.75" customHeight="1" x14ac:dyDescent="0.3">
      <c r="A108" s="9" t="s">
        <v>421</v>
      </c>
      <c r="B108" s="10" t="s">
        <v>31</v>
      </c>
      <c r="C108" s="9"/>
      <c r="D108" s="11"/>
      <c r="E108" s="12" t="s">
        <v>32</v>
      </c>
      <c r="F108" s="11"/>
      <c r="G108" s="11" t="s">
        <v>422</v>
      </c>
      <c r="H108" s="9" t="s">
        <v>34</v>
      </c>
      <c r="I108" s="11"/>
      <c r="J108" s="9" t="s">
        <v>35</v>
      </c>
      <c r="K108" s="9" t="s">
        <v>42</v>
      </c>
      <c r="L108" s="11" t="s">
        <v>423</v>
      </c>
      <c r="M108" s="9" t="s">
        <v>309</v>
      </c>
      <c r="N108" s="11" t="s">
        <v>424</v>
      </c>
      <c r="O108" s="9" t="s">
        <v>40</v>
      </c>
      <c r="P108" s="11" t="s">
        <v>107</v>
      </c>
      <c r="Q108" s="9" t="s">
        <v>42</v>
      </c>
      <c r="R108" s="11" t="s">
        <v>360</v>
      </c>
      <c r="S108" s="9" t="s">
        <v>42</v>
      </c>
      <c r="T108" s="9" t="s">
        <v>34</v>
      </c>
      <c r="U108" s="9" t="s">
        <v>34</v>
      </c>
      <c r="V108" s="9" t="s">
        <v>43</v>
      </c>
      <c r="W108" s="9" t="s">
        <v>44</v>
      </c>
      <c r="X108" s="9" t="s">
        <v>34</v>
      </c>
      <c r="Y108" s="40" t="s">
        <v>45</v>
      </c>
      <c r="Z108" s="43">
        <f>_xlfn.XLOOKUP(A108,Data!A105:A807,Data!C105:C807)</f>
        <v>2023</v>
      </c>
      <c r="AA108" s="43" t="str">
        <f>_xlfn.XLOOKUP(A108,Data!A105:A807,Data!E105:E807)</f>
        <v>Article</v>
      </c>
    </row>
    <row r="109" spans="1:27" ht="15.75" customHeight="1" x14ac:dyDescent="0.3">
      <c r="A109" s="13" t="s">
        <v>425</v>
      </c>
      <c r="B109" s="10" t="s">
        <v>31</v>
      </c>
      <c r="C109" s="13"/>
      <c r="D109" s="14"/>
      <c r="E109" s="9" t="s">
        <v>70</v>
      </c>
      <c r="F109" s="14"/>
      <c r="G109" s="14" t="s">
        <v>49</v>
      </c>
      <c r="H109" s="13" t="s">
        <v>34</v>
      </c>
      <c r="I109" s="14"/>
      <c r="J109" s="13" t="s">
        <v>35</v>
      </c>
      <c r="K109" s="13" t="s">
        <v>34</v>
      </c>
      <c r="L109" s="14"/>
      <c r="M109" s="13" t="s">
        <v>52</v>
      </c>
      <c r="N109" s="14" t="s">
        <v>426</v>
      </c>
      <c r="O109" s="13" t="s">
        <v>40</v>
      </c>
      <c r="P109" s="14" t="s">
        <v>41</v>
      </c>
      <c r="Q109" s="13" t="s">
        <v>33</v>
      </c>
      <c r="R109" s="14"/>
      <c r="S109" s="13" t="s">
        <v>34</v>
      </c>
      <c r="T109" s="13" t="s">
        <v>42</v>
      </c>
      <c r="U109" s="13" t="s">
        <v>42</v>
      </c>
      <c r="V109" s="13" t="s">
        <v>43</v>
      </c>
      <c r="W109" s="13" t="s">
        <v>33</v>
      </c>
      <c r="X109" s="13" t="s">
        <v>34</v>
      </c>
      <c r="Y109" s="41" t="s">
        <v>45</v>
      </c>
      <c r="Z109" s="43">
        <f>_xlfn.XLOOKUP(A109,Data!A106:A808,Data!C106:C808)</f>
        <v>2020</v>
      </c>
      <c r="AA109" s="43" t="str">
        <f>_xlfn.XLOOKUP(A109,Data!A106:A808,Data!E106:E808)</f>
        <v>Article</v>
      </c>
    </row>
    <row r="110" spans="1:27" ht="15.75" customHeight="1" x14ac:dyDescent="0.3">
      <c r="A110" s="9" t="s">
        <v>427</v>
      </c>
      <c r="B110" s="10" t="s">
        <v>31</v>
      </c>
      <c r="C110" s="9"/>
      <c r="D110" s="11"/>
      <c r="E110" s="9" t="s">
        <v>70</v>
      </c>
      <c r="F110" s="11"/>
      <c r="G110" s="11" t="s">
        <v>49</v>
      </c>
      <c r="H110" s="9" t="s">
        <v>42</v>
      </c>
      <c r="I110" s="11" t="s">
        <v>190</v>
      </c>
      <c r="J110" s="9" t="s">
        <v>35</v>
      </c>
      <c r="K110" s="9" t="s">
        <v>42</v>
      </c>
      <c r="L110" s="11" t="s">
        <v>428</v>
      </c>
      <c r="M110" s="9" t="s">
        <v>52</v>
      </c>
      <c r="N110" s="11" t="s">
        <v>429</v>
      </c>
      <c r="O110" s="9" t="s">
        <v>40</v>
      </c>
      <c r="P110" s="11" t="s">
        <v>55</v>
      </c>
      <c r="Q110" s="9" t="s">
        <v>42</v>
      </c>
      <c r="R110" s="11" t="s">
        <v>385</v>
      </c>
      <c r="S110" s="9" t="s">
        <v>42</v>
      </c>
      <c r="T110" s="9" t="s">
        <v>42</v>
      </c>
      <c r="U110" s="9" t="s">
        <v>34</v>
      </c>
      <c r="V110" s="9" t="s">
        <v>43</v>
      </c>
      <c r="W110" s="9" t="s">
        <v>44</v>
      </c>
      <c r="X110" s="9" t="s">
        <v>34</v>
      </c>
      <c r="Y110" s="40" t="s">
        <v>45</v>
      </c>
      <c r="Z110" s="43">
        <f>_xlfn.XLOOKUP(A110,Data!A107:A809,Data!C107:C809)</f>
        <v>2024</v>
      </c>
      <c r="AA110" s="43" t="str">
        <f>_xlfn.XLOOKUP(A110,Data!A107:A809,Data!E107:E809)</f>
        <v>Article</v>
      </c>
    </row>
    <row r="111" spans="1:27" ht="15.75" customHeight="1" x14ac:dyDescent="0.3">
      <c r="A111" s="13" t="s">
        <v>430</v>
      </c>
      <c r="B111" s="10" t="s">
        <v>31</v>
      </c>
      <c r="C111" s="13"/>
      <c r="D111" s="14"/>
      <c r="E111" s="12" t="s">
        <v>32</v>
      </c>
      <c r="F111" s="14"/>
      <c r="G111" s="14" t="s">
        <v>172</v>
      </c>
      <c r="H111" s="13" t="s">
        <v>34</v>
      </c>
      <c r="I111" s="14"/>
      <c r="J111" s="13" t="s">
        <v>83</v>
      </c>
      <c r="K111" s="13" t="s">
        <v>42</v>
      </c>
      <c r="L111" s="14" t="s">
        <v>431</v>
      </c>
      <c r="M111" s="13" t="s">
        <v>52</v>
      </c>
      <c r="N111" s="14" t="s">
        <v>432</v>
      </c>
      <c r="O111" s="13" t="s">
        <v>40</v>
      </c>
      <c r="P111" s="14" t="s">
        <v>337</v>
      </c>
      <c r="Q111" s="13" t="s">
        <v>42</v>
      </c>
      <c r="R111" s="14" t="s">
        <v>433</v>
      </c>
      <c r="S111" s="13" t="s">
        <v>42</v>
      </c>
      <c r="T111" s="13" t="s">
        <v>34</v>
      </c>
      <c r="U111" s="13" t="s">
        <v>42</v>
      </c>
      <c r="V111" s="13" t="s">
        <v>43</v>
      </c>
      <c r="W111" s="13" t="s">
        <v>63</v>
      </c>
      <c r="X111" s="13" t="s">
        <v>34</v>
      </c>
      <c r="Y111" s="41" t="s">
        <v>116</v>
      </c>
      <c r="Z111" s="43">
        <f>_xlfn.XLOOKUP(A111,Data!A108:A810,Data!C108:C810)</f>
        <v>2022</v>
      </c>
      <c r="AA111" s="43" t="str">
        <f>_xlfn.XLOOKUP(A111,Data!A108:A810,Data!E108:E810)</f>
        <v>Article</v>
      </c>
    </row>
    <row r="112" spans="1:27" ht="15.75" customHeight="1" x14ac:dyDescent="0.3">
      <c r="A112" s="9" t="s">
        <v>434</v>
      </c>
      <c r="B112" s="10" t="s">
        <v>31</v>
      </c>
      <c r="C112" s="9"/>
      <c r="D112" s="11"/>
      <c r="E112" s="12" t="s">
        <v>32</v>
      </c>
      <c r="F112" s="11"/>
      <c r="G112" s="11" t="s">
        <v>33</v>
      </c>
      <c r="H112" s="9" t="s">
        <v>42</v>
      </c>
      <c r="I112" s="11" t="s">
        <v>435</v>
      </c>
      <c r="J112" s="9" t="s">
        <v>35</v>
      </c>
      <c r="K112" s="9" t="s">
        <v>42</v>
      </c>
      <c r="L112" s="11" t="s">
        <v>436</v>
      </c>
      <c r="M112" s="9" t="s">
        <v>52</v>
      </c>
      <c r="N112" s="11" t="s">
        <v>437</v>
      </c>
      <c r="O112" s="9" t="s">
        <v>299</v>
      </c>
      <c r="P112" s="11" t="s">
        <v>438</v>
      </c>
      <c r="Q112" s="9" t="s">
        <v>42</v>
      </c>
      <c r="R112" s="11" t="s">
        <v>439</v>
      </c>
      <c r="S112" s="9" t="s">
        <v>42</v>
      </c>
      <c r="T112" s="9" t="s">
        <v>34</v>
      </c>
      <c r="U112" s="9" t="s">
        <v>42</v>
      </c>
      <c r="V112" s="9" t="s">
        <v>62</v>
      </c>
      <c r="W112" s="9" t="s">
        <v>63</v>
      </c>
      <c r="X112" s="9" t="s">
        <v>34</v>
      </c>
      <c r="Y112" s="40" t="s">
        <v>139</v>
      </c>
      <c r="Z112" s="43">
        <f>_xlfn.XLOOKUP(A112,Data!A109:A811,Data!C109:C811)</f>
        <v>2015</v>
      </c>
      <c r="AA112" s="43" t="str">
        <f>_xlfn.XLOOKUP(A112,Data!A109:A811,Data!E109:E811)</f>
        <v>Article</v>
      </c>
    </row>
    <row r="113" spans="1:27" ht="15.75" customHeight="1" x14ac:dyDescent="0.3">
      <c r="A113" s="13" t="s">
        <v>440</v>
      </c>
      <c r="B113" s="10" t="s">
        <v>31</v>
      </c>
      <c r="C113" s="13"/>
      <c r="D113" s="14"/>
      <c r="E113" s="12" t="s">
        <v>32</v>
      </c>
      <c r="F113" s="14"/>
      <c r="G113" s="14" t="s">
        <v>105</v>
      </c>
      <c r="H113" s="13" t="s">
        <v>34</v>
      </c>
      <c r="I113" s="14"/>
      <c r="J113" s="13" t="s">
        <v>35</v>
      </c>
      <c r="K113" s="13" t="s">
        <v>34</v>
      </c>
      <c r="L113" s="14"/>
      <c r="M113" s="13" t="s">
        <v>314</v>
      </c>
      <c r="N113" s="14" t="s">
        <v>441</v>
      </c>
      <c r="O113" s="13" t="s">
        <v>54</v>
      </c>
      <c r="P113" s="14" t="s">
        <v>164</v>
      </c>
      <c r="Q113" s="13" t="s">
        <v>42</v>
      </c>
      <c r="R113" s="14" t="s">
        <v>442</v>
      </c>
      <c r="S113" s="13" t="s">
        <v>42</v>
      </c>
      <c r="T113" s="13" t="s">
        <v>34</v>
      </c>
      <c r="U113" s="13" t="s">
        <v>34</v>
      </c>
      <c r="V113" s="13" t="s">
        <v>33</v>
      </c>
      <c r="W113" s="13" t="s">
        <v>33</v>
      </c>
      <c r="X113" s="13" t="s">
        <v>34</v>
      </c>
      <c r="Y113" s="41" t="s">
        <v>33</v>
      </c>
      <c r="Z113" s="43">
        <f>_xlfn.XLOOKUP(A113,Data!A110:A812,Data!C110:C812)</f>
        <v>2015</v>
      </c>
      <c r="AA113" s="43" t="str">
        <f>_xlfn.XLOOKUP(A113,Data!A110:A812,Data!E110:E812)</f>
        <v>Article</v>
      </c>
    </row>
    <row r="114" spans="1:27" ht="15.75" customHeight="1" x14ac:dyDescent="0.3">
      <c r="A114" s="15" t="s">
        <v>443</v>
      </c>
      <c r="B114" s="19" t="s">
        <v>122</v>
      </c>
      <c r="C114" s="15" t="s">
        <v>123</v>
      </c>
      <c r="D114" s="20" t="s">
        <v>124</v>
      </c>
      <c r="E114" s="21" t="s">
        <v>125</v>
      </c>
      <c r="F114" s="20"/>
      <c r="G114" s="20" t="s">
        <v>92</v>
      </c>
      <c r="H114" s="15" t="s">
        <v>34</v>
      </c>
      <c r="I114" s="20"/>
      <c r="J114" s="15" t="s">
        <v>35</v>
      </c>
      <c r="K114" s="15" t="s">
        <v>42</v>
      </c>
      <c r="L114" s="20" t="s">
        <v>328</v>
      </c>
      <c r="M114" s="15" t="s">
        <v>225</v>
      </c>
      <c r="N114" s="20" t="s">
        <v>444</v>
      </c>
      <c r="O114" s="15" t="s">
        <v>40</v>
      </c>
      <c r="P114" s="20" t="s">
        <v>41</v>
      </c>
      <c r="Q114" s="15" t="s">
        <v>42</v>
      </c>
      <c r="R114" s="20" t="s">
        <v>445</v>
      </c>
      <c r="S114" s="15" t="s">
        <v>34</v>
      </c>
      <c r="T114" s="15" t="s">
        <v>34</v>
      </c>
      <c r="U114" s="15" t="s">
        <v>42</v>
      </c>
      <c r="V114" s="15" t="s">
        <v>43</v>
      </c>
      <c r="W114" s="15" t="s">
        <v>44</v>
      </c>
      <c r="X114" s="15" t="s">
        <v>34</v>
      </c>
      <c r="Y114" s="42" t="s">
        <v>45</v>
      </c>
      <c r="Z114" s="43">
        <f>_xlfn.XLOOKUP(A114,Data!A111:A813,Data!C111:C813)</f>
        <v>2021</v>
      </c>
      <c r="AA114" s="43" t="str">
        <f>_xlfn.XLOOKUP(A114,Data!A111:A813,Data!E111:E813)</f>
        <v>Article</v>
      </c>
    </row>
    <row r="115" spans="1:27" ht="15.75" customHeight="1" x14ac:dyDescent="0.3"/>
    <row r="116" spans="1:27" ht="15.75" customHeight="1" x14ac:dyDescent="0.3"/>
    <row r="117" spans="1:27" ht="15.75" customHeight="1" x14ac:dyDescent="0.3"/>
    <row r="118" spans="1:27" ht="15.75" customHeight="1" x14ac:dyDescent="0.3"/>
    <row r="119" spans="1:27" ht="15.75" customHeight="1" x14ac:dyDescent="0.3"/>
    <row r="120" spans="1:27" ht="15.75" customHeight="1" x14ac:dyDescent="0.3"/>
    <row r="121" spans="1:27" ht="15.75" customHeight="1" x14ac:dyDescent="0.3"/>
    <row r="122" spans="1:27" ht="15.75" customHeight="1" x14ac:dyDescent="0.3"/>
    <row r="123" spans="1:27" ht="15.75" customHeight="1" x14ac:dyDescent="0.3"/>
    <row r="124" spans="1:27" ht="15.75" customHeight="1" x14ac:dyDescent="0.3"/>
    <row r="125" spans="1:27" ht="15.75" customHeight="1" x14ac:dyDescent="0.3"/>
    <row r="126" spans="1:27" ht="15.75" customHeight="1" x14ac:dyDescent="0.3"/>
    <row r="127" spans="1:27" ht="15.75" customHeight="1" x14ac:dyDescent="0.3"/>
    <row r="128" spans="1:27"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5">
    <mergeCell ref="A1:Y1"/>
    <mergeCell ref="E2:I2"/>
    <mergeCell ref="J2:O2"/>
    <mergeCell ref="P2:U2"/>
    <mergeCell ref="V2:Y2"/>
  </mergeCell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showGridLines="0" zoomScale="70" zoomScaleNormal="70" workbookViewId="0">
      <pane ySplit="2" topLeftCell="A4" activePane="bottomLeft" state="frozen"/>
      <selection pane="bottomLeft" activeCell="B4" sqref="B4"/>
    </sheetView>
  </sheetViews>
  <sheetFormatPr baseColWidth="10" defaultColWidth="14.44140625" defaultRowHeight="15" customHeight="1" x14ac:dyDescent="0.3"/>
  <cols>
    <col min="1" max="1" width="10" customWidth="1"/>
    <col min="2" max="2" width="14" customWidth="1"/>
    <col min="3" max="3" width="12" customWidth="1"/>
    <col min="4" max="4" width="55" customWidth="1"/>
    <col min="5" max="5" width="16" customWidth="1"/>
    <col min="6" max="6" width="22" customWidth="1"/>
    <col min="7" max="26" width="8.6640625" customWidth="1"/>
  </cols>
  <sheetData>
    <row r="1" spans="1:25" ht="27.75" customHeight="1" x14ac:dyDescent="0.3">
      <c r="A1" s="53" t="s">
        <v>446</v>
      </c>
      <c r="B1" s="45"/>
      <c r="C1" s="45"/>
      <c r="D1" s="45"/>
      <c r="E1" s="45"/>
      <c r="F1" s="45"/>
      <c r="G1" s="45"/>
      <c r="H1" s="45"/>
      <c r="I1" s="45"/>
      <c r="J1" s="45"/>
      <c r="K1" s="45"/>
      <c r="L1" s="45"/>
      <c r="M1" s="45"/>
      <c r="N1" s="45"/>
      <c r="O1" s="45"/>
      <c r="P1" s="45"/>
      <c r="Q1" s="45"/>
      <c r="R1" s="45"/>
      <c r="S1" s="45"/>
      <c r="T1" s="45"/>
      <c r="U1" s="45"/>
      <c r="V1" s="45"/>
      <c r="W1" s="45"/>
      <c r="X1" s="45"/>
      <c r="Y1" s="46"/>
    </row>
    <row r="2" spans="1:25" ht="48" x14ac:dyDescent="0.3">
      <c r="A2" s="1" t="s">
        <v>1</v>
      </c>
      <c r="B2" s="4" t="s">
        <v>447</v>
      </c>
      <c r="C2" s="4" t="s">
        <v>448</v>
      </c>
      <c r="D2" s="4" t="s">
        <v>449</v>
      </c>
      <c r="E2" s="1" t="s">
        <v>9</v>
      </c>
      <c r="F2" s="1" t="s">
        <v>10</v>
      </c>
      <c r="G2" s="1" t="s">
        <v>11</v>
      </c>
      <c r="H2" s="1" t="s">
        <v>12</v>
      </c>
      <c r="I2" s="1" t="s">
        <v>13</v>
      </c>
      <c r="J2" s="1" t="s">
        <v>14</v>
      </c>
      <c r="K2" s="1" t="s">
        <v>15</v>
      </c>
      <c r="L2" s="1" t="s">
        <v>16</v>
      </c>
      <c r="M2" s="1" t="s">
        <v>17</v>
      </c>
      <c r="N2" s="1" t="s">
        <v>18</v>
      </c>
      <c r="O2" s="1" t="s">
        <v>19</v>
      </c>
      <c r="P2" s="1" t="s">
        <v>20</v>
      </c>
      <c r="Q2" s="1" t="s">
        <v>21</v>
      </c>
      <c r="R2" s="1" t="s">
        <v>22</v>
      </c>
      <c r="S2" s="1" t="s">
        <v>23</v>
      </c>
      <c r="T2" s="1" t="s">
        <v>24</v>
      </c>
      <c r="U2" s="1" t="s">
        <v>25</v>
      </c>
      <c r="V2" s="1" t="s">
        <v>26</v>
      </c>
      <c r="W2" s="1" t="s">
        <v>27</v>
      </c>
      <c r="X2" s="1" t="s">
        <v>28</v>
      </c>
      <c r="Y2" s="1" t="s">
        <v>29</v>
      </c>
    </row>
    <row r="3" spans="1:25" ht="22.8" x14ac:dyDescent="0.3">
      <c r="A3" s="15" t="s">
        <v>121</v>
      </c>
      <c r="B3" s="15" t="s">
        <v>122</v>
      </c>
      <c r="C3" s="15" t="s">
        <v>123</v>
      </c>
      <c r="D3" s="20" t="s">
        <v>124</v>
      </c>
      <c r="E3" s="13" t="s">
        <v>125</v>
      </c>
      <c r="F3" s="14"/>
      <c r="G3" s="14" t="s">
        <v>33</v>
      </c>
      <c r="H3" s="14" t="s">
        <v>34</v>
      </c>
      <c r="I3" s="14"/>
      <c r="J3" s="14" t="s">
        <v>126</v>
      </c>
      <c r="K3" s="14" t="s">
        <v>36</v>
      </c>
      <c r="L3" s="14" t="s">
        <v>33</v>
      </c>
      <c r="M3" s="14" t="s">
        <v>38</v>
      </c>
      <c r="N3" s="14" t="s">
        <v>33</v>
      </c>
      <c r="O3" s="14" t="s">
        <v>60</v>
      </c>
      <c r="P3" s="14" t="s">
        <v>60</v>
      </c>
      <c r="Q3" s="14" t="s">
        <v>34</v>
      </c>
      <c r="R3" s="14" t="s">
        <v>33</v>
      </c>
      <c r="S3" s="14" t="s">
        <v>34</v>
      </c>
      <c r="T3" s="14" t="s">
        <v>34</v>
      </c>
      <c r="U3" s="14" t="s">
        <v>34</v>
      </c>
      <c r="V3" s="14" t="s">
        <v>62</v>
      </c>
      <c r="W3" s="14" t="s">
        <v>63</v>
      </c>
      <c r="X3" s="14" t="s">
        <v>34</v>
      </c>
      <c r="Y3" s="14" t="s">
        <v>68</v>
      </c>
    </row>
    <row r="4" spans="1:25" ht="57" x14ac:dyDescent="0.3">
      <c r="A4" s="15" t="s">
        <v>127</v>
      </c>
      <c r="B4" s="15" t="s">
        <v>122</v>
      </c>
      <c r="C4" s="15" t="s">
        <v>123</v>
      </c>
      <c r="D4" s="20" t="s">
        <v>124</v>
      </c>
      <c r="E4" s="21" t="s">
        <v>125</v>
      </c>
      <c r="F4" s="22"/>
      <c r="G4" s="22" t="s">
        <v>33</v>
      </c>
      <c r="H4" s="22" t="s">
        <v>42</v>
      </c>
      <c r="I4" s="22" t="s">
        <v>128</v>
      </c>
      <c r="J4" s="22" t="s">
        <v>35</v>
      </c>
      <c r="K4" s="22" t="s">
        <v>42</v>
      </c>
      <c r="L4" s="22" t="s">
        <v>71</v>
      </c>
      <c r="M4" s="22" t="s">
        <v>113</v>
      </c>
      <c r="N4" s="22" t="s">
        <v>129</v>
      </c>
      <c r="O4" s="22" t="s">
        <v>40</v>
      </c>
      <c r="P4" s="22" t="s">
        <v>55</v>
      </c>
      <c r="Q4" s="22" t="s">
        <v>34</v>
      </c>
      <c r="R4" s="22" t="s">
        <v>33</v>
      </c>
      <c r="S4" s="22" t="s">
        <v>34</v>
      </c>
      <c r="T4" s="22" t="s">
        <v>34</v>
      </c>
      <c r="U4" s="22" t="s">
        <v>34</v>
      </c>
      <c r="V4" s="22" t="s">
        <v>43</v>
      </c>
      <c r="W4" s="22" t="s">
        <v>44</v>
      </c>
      <c r="X4" s="22" t="s">
        <v>34</v>
      </c>
      <c r="Y4" s="22" t="s">
        <v>45</v>
      </c>
    </row>
    <row r="5" spans="1:25" ht="34.200000000000003" x14ac:dyDescent="0.3">
      <c r="A5" s="15" t="s">
        <v>140</v>
      </c>
      <c r="B5" s="15" t="s">
        <v>122</v>
      </c>
      <c r="C5" s="15" t="s">
        <v>123</v>
      </c>
      <c r="D5" s="20" t="s">
        <v>124</v>
      </c>
      <c r="E5" s="13" t="s">
        <v>125</v>
      </c>
      <c r="F5" s="14"/>
      <c r="G5" s="14" t="s">
        <v>33</v>
      </c>
      <c r="H5" s="14" t="s">
        <v>34</v>
      </c>
      <c r="I5" s="14"/>
      <c r="J5" s="14" t="s">
        <v>35</v>
      </c>
      <c r="K5" s="14" t="s">
        <v>42</v>
      </c>
      <c r="L5" s="14" t="s">
        <v>141</v>
      </c>
      <c r="M5" s="14" t="s">
        <v>52</v>
      </c>
      <c r="N5" s="14" t="s">
        <v>59</v>
      </c>
      <c r="O5" s="14" t="s">
        <v>60</v>
      </c>
      <c r="P5" s="14" t="s">
        <v>107</v>
      </c>
      <c r="Q5" s="14" t="s">
        <v>34</v>
      </c>
      <c r="R5" s="14" t="s">
        <v>33</v>
      </c>
      <c r="S5" s="14" t="s">
        <v>34</v>
      </c>
      <c r="T5" s="14" t="s">
        <v>34</v>
      </c>
      <c r="U5" s="14" t="s">
        <v>34</v>
      </c>
      <c r="V5" s="14" t="s">
        <v>43</v>
      </c>
      <c r="W5" s="14" t="s">
        <v>44</v>
      </c>
      <c r="X5" s="14" t="s">
        <v>34</v>
      </c>
      <c r="Y5" s="14" t="s">
        <v>45</v>
      </c>
    </row>
    <row r="6" spans="1:25" ht="34.200000000000003" x14ac:dyDescent="0.3">
      <c r="A6" s="15" t="s">
        <v>142</v>
      </c>
      <c r="B6" s="15" t="s">
        <v>122</v>
      </c>
      <c r="C6" s="15" t="s">
        <v>123</v>
      </c>
      <c r="D6" s="20" t="s">
        <v>124</v>
      </c>
      <c r="E6" s="21" t="s">
        <v>125</v>
      </c>
      <c r="F6" s="22"/>
      <c r="G6" s="22" t="s">
        <v>33</v>
      </c>
      <c r="H6" s="22" t="s">
        <v>42</v>
      </c>
      <c r="I6" s="22" t="s">
        <v>78</v>
      </c>
      <c r="J6" s="22" t="s">
        <v>35</v>
      </c>
      <c r="K6" s="22" t="s">
        <v>42</v>
      </c>
      <c r="L6" s="22" t="s">
        <v>138</v>
      </c>
      <c r="M6" s="22" t="s">
        <v>52</v>
      </c>
      <c r="N6" s="22" t="s">
        <v>72</v>
      </c>
      <c r="O6" s="22" t="s">
        <v>60</v>
      </c>
      <c r="P6" s="22" t="s">
        <v>60</v>
      </c>
      <c r="Q6" s="22" t="s">
        <v>56</v>
      </c>
      <c r="R6" s="22" t="s">
        <v>33</v>
      </c>
      <c r="S6" s="22" t="s">
        <v>42</v>
      </c>
      <c r="T6" s="22" t="s">
        <v>34</v>
      </c>
      <c r="U6" s="22" t="s">
        <v>42</v>
      </c>
      <c r="V6" s="22" t="s">
        <v>62</v>
      </c>
      <c r="W6" s="22" t="s">
        <v>63</v>
      </c>
      <c r="X6" s="22" t="s">
        <v>34</v>
      </c>
      <c r="Y6" s="22" t="s">
        <v>139</v>
      </c>
    </row>
    <row r="7" spans="1:25" ht="91.2" x14ac:dyDescent="0.3">
      <c r="A7" s="15" t="s">
        <v>143</v>
      </c>
      <c r="B7" s="15" t="s">
        <v>122</v>
      </c>
      <c r="C7" s="15" t="s">
        <v>123</v>
      </c>
      <c r="D7" s="20" t="s">
        <v>124</v>
      </c>
      <c r="E7" s="13" t="s">
        <v>125</v>
      </c>
      <c r="F7" s="14"/>
      <c r="G7" s="14" t="s">
        <v>33</v>
      </c>
      <c r="H7" s="14" t="s">
        <v>42</v>
      </c>
      <c r="I7" s="14" t="s">
        <v>144</v>
      </c>
      <c r="J7" s="14" t="s">
        <v>35</v>
      </c>
      <c r="K7" s="14" t="s">
        <v>42</v>
      </c>
      <c r="L7" s="14" t="s">
        <v>145</v>
      </c>
      <c r="M7" s="14" t="s">
        <v>113</v>
      </c>
      <c r="N7" s="14" t="s">
        <v>146</v>
      </c>
      <c r="O7" s="14" t="s">
        <v>40</v>
      </c>
      <c r="P7" s="14" t="s">
        <v>55</v>
      </c>
      <c r="Q7" s="14" t="s">
        <v>34</v>
      </c>
      <c r="R7" s="14" t="s">
        <v>33</v>
      </c>
      <c r="S7" s="14" t="s">
        <v>34</v>
      </c>
      <c r="T7" s="14" t="s">
        <v>34</v>
      </c>
      <c r="U7" s="14" t="s">
        <v>42</v>
      </c>
      <c r="V7" s="14" t="s">
        <v>43</v>
      </c>
      <c r="W7" s="14" t="s">
        <v>63</v>
      </c>
      <c r="X7" s="14" t="s">
        <v>34</v>
      </c>
      <c r="Y7" s="14" t="s">
        <v>147</v>
      </c>
    </row>
    <row r="8" spans="1:25" ht="57" x14ac:dyDescent="0.3">
      <c r="A8" s="15" t="s">
        <v>166</v>
      </c>
      <c r="B8" s="15" t="s">
        <v>122</v>
      </c>
      <c r="C8" s="15" t="s">
        <v>123</v>
      </c>
      <c r="D8" s="20" t="s">
        <v>124</v>
      </c>
      <c r="E8" s="21" t="s">
        <v>125</v>
      </c>
      <c r="F8" s="22"/>
      <c r="G8" s="22" t="s">
        <v>33</v>
      </c>
      <c r="H8" s="22" t="s">
        <v>42</v>
      </c>
      <c r="I8" s="22" t="s">
        <v>167</v>
      </c>
      <c r="J8" s="22" t="s">
        <v>35</v>
      </c>
      <c r="K8" s="22" t="s">
        <v>36</v>
      </c>
      <c r="L8" s="22" t="s">
        <v>168</v>
      </c>
      <c r="M8" s="22" t="s">
        <v>113</v>
      </c>
      <c r="N8" s="22" t="s">
        <v>169</v>
      </c>
      <c r="O8" s="22" t="s">
        <v>170</v>
      </c>
      <c r="P8" s="22" t="s">
        <v>55</v>
      </c>
      <c r="Q8" s="22" t="s">
        <v>34</v>
      </c>
      <c r="R8" s="22" t="s">
        <v>33</v>
      </c>
      <c r="S8" s="22" t="s">
        <v>34</v>
      </c>
      <c r="T8" s="22" t="s">
        <v>34</v>
      </c>
      <c r="U8" s="22" t="s">
        <v>42</v>
      </c>
      <c r="V8" s="22" t="s">
        <v>62</v>
      </c>
      <c r="W8" s="22" t="s">
        <v>63</v>
      </c>
      <c r="X8" s="22" t="s">
        <v>34</v>
      </c>
      <c r="Y8" s="22" t="s">
        <v>108</v>
      </c>
    </row>
    <row r="9" spans="1:25" ht="102.6" x14ac:dyDescent="0.3">
      <c r="A9" s="15" t="s">
        <v>196</v>
      </c>
      <c r="B9" s="15" t="s">
        <v>122</v>
      </c>
      <c r="C9" s="15" t="s">
        <v>123</v>
      </c>
      <c r="D9" s="20" t="s">
        <v>124</v>
      </c>
      <c r="E9" s="13" t="s">
        <v>125</v>
      </c>
      <c r="F9" s="14"/>
      <c r="G9" s="14" t="s">
        <v>33</v>
      </c>
      <c r="H9" s="14" t="s">
        <v>42</v>
      </c>
      <c r="I9" s="14" t="s">
        <v>151</v>
      </c>
      <c r="J9" s="14" t="s">
        <v>35</v>
      </c>
      <c r="K9" s="14" t="s">
        <v>36</v>
      </c>
      <c r="L9" s="14" t="s">
        <v>71</v>
      </c>
      <c r="M9" s="14" t="s">
        <v>52</v>
      </c>
      <c r="N9" s="14" t="s">
        <v>197</v>
      </c>
      <c r="O9" s="14" t="s">
        <v>40</v>
      </c>
      <c r="P9" s="14" t="s">
        <v>55</v>
      </c>
      <c r="Q9" s="14" t="s">
        <v>56</v>
      </c>
      <c r="R9" s="14" t="s">
        <v>33</v>
      </c>
      <c r="S9" s="14" t="s">
        <v>34</v>
      </c>
      <c r="T9" s="14" t="s">
        <v>34</v>
      </c>
      <c r="U9" s="14" t="s">
        <v>42</v>
      </c>
      <c r="V9" s="14" t="s">
        <v>43</v>
      </c>
      <c r="W9" s="14" t="s">
        <v>44</v>
      </c>
      <c r="X9" s="14" t="s">
        <v>34</v>
      </c>
      <c r="Y9" s="14" t="s">
        <v>45</v>
      </c>
    </row>
    <row r="10" spans="1:25" ht="79.8" x14ac:dyDescent="0.3">
      <c r="A10" s="15" t="s">
        <v>198</v>
      </c>
      <c r="B10" s="15" t="s">
        <v>122</v>
      </c>
      <c r="C10" s="15" t="s">
        <v>123</v>
      </c>
      <c r="D10" s="20" t="s">
        <v>124</v>
      </c>
      <c r="E10" s="21" t="s">
        <v>125</v>
      </c>
      <c r="F10" s="22"/>
      <c r="G10" s="22" t="s">
        <v>33</v>
      </c>
      <c r="H10" s="22" t="s">
        <v>34</v>
      </c>
      <c r="I10" s="22"/>
      <c r="J10" s="22" t="s">
        <v>83</v>
      </c>
      <c r="K10" s="22" t="s">
        <v>36</v>
      </c>
      <c r="L10" s="22" t="s">
        <v>199</v>
      </c>
      <c r="M10" s="22" t="s">
        <v>38</v>
      </c>
      <c r="N10" s="22" t="s">
        <v>200</v>
      </c>
      <c r="O10" s="22" t="s">
        <v>40</v>
      </c>
      <c r="P10" s="22" t="s">
        <v>41</v>
      </c>
      <c r="Q10" s="22" t="s">
        <v>34</v>
      </c>
      <c r="R10" s="22" t="s">
        <v>33</v>
      </c>
      <c r="S10" s="22" t="s">
        <v>34</v>
      </c>
      <c r="T10" s="22" t="s">
        <v>34</v>
      </c>
      <c r="U10" s="22" t="s">
        <v>42</v>
      </c>
      <c r="V10" s="22" t="s">
        <v>62</v>
      </c>
      <c r="W10" s="22" t="s">
        <v>63</v>
      </c>
      <c r="X10" s="22" t="s">
        <v>34</v>
      </c>
      <c r="Y10" s="22" t="s">
        <v>173</v>
      </c>
    </row>
    <row r="11" spans="1:25" ht="22.8" x14ac:dyDescent="0.3">
      <c r="A11" s="15" t="s">
        <v>202</v>
      </c>
      <c r="B11" s="15" t="s">
        <v>122</v>
      </c>
      <c r="C11" s="15" t="s">
        <v>123</v>
      </c>
      <c r="D11" s="20" t="s">
        <v>124</v>
      </c>
      <c r="E11" s="13" t="s">
        <v>125</v>
      </c>
      <c r="F11" s="14"/>
      <c r="G11" s="14" t="s">
        <v>33</v>
      </c>
      <c r="H11" s="14" t="s">
        <v>34</v>
      </c>
      <c r="I11" s="14"/>
      <c r="J11" s="14" t="s">
        <v>35</v>
      </c>
      <c r="K11" s="14" t="s">
        <v>36</v>
      </c>
      <c r="L11" s="14" t="s">
        <v>118</v>
      </c>
      <c r="M11" s="14" t="s">
        <v>52</v>
      </c>
      <c r="N11" s="14" t="s">
        <v>72</v>
      </c>
      <c r="O11" s="14" t="s">
        <v>54</v>
      </c>
      <c r="P11" s="14" t="s">
        <v>60</v>
      </c>
      <c r="Q11" s="14" t="s">
        <v>56</v>
      </c>
      <c r="R11" s="14" t="s">
        <v>33</v>
      </c>
      <c r="S11" s="14" t="s">
        <v>34</v>
      </c>
      <c r="T11" s="14" t="s">
        <v>34</v>
      </c>
      <c r="U11" s="14" t="s">
        <v>34</v>
      </c>
      <c r="V11" s="14" t="s">
        <v>43</v>
      </c>
      <c r="W11" s="14" t="s">
        <v>44</v>
      </c>
      <c r="X11" s="14" t="s">
        <v>34</v>
      </c>
      <c r="Y11" s="14" t="s">
        <v>45</v>
      </c>
    </row>
    <row r="12" spans="1:25" ht="34.200000000000003" x14ac:dyDescent="0.3">
      <c r="A12" s="15" t="s">
        <v>203</v>
      </c>
      <c r="B12" s="15" t="s">
        <v>122</v>
      </c>
      <c r="C12" s="15" t="s">
        <v>123</v>
      </c>
      <c r="D12" s="20" t="s">
        <v>124</v>
      </c>
      <c r="E12" s="21" t="s">
        <v>125</v>
      </c>
      <c r="F12" s="22"/>
      <c r="G12" s="22" t="s">
        <v>92</v>
      </c>
      <c r="H12" s="22" t="s">
        <v>34</v>
      </c>
      <c r="I12" s="22"/>
      <c r="J12" s="22" t="s">
        <v>35</v>
      </c>
      <c r="K12" s="22" t="s">
        <v>42</v>
      </c>
      <c r="L12" s="22" t="s">
        <v>75</v>
      </c>
      <c r="M12" s="22" t="s">
        <v>52</v>
      </c>
      <c r="N12" s="22" t="s">
        <v>204</v>
      </c>
      <c r="O12" s="22" t="s">
        <v>40</v>
      </c>
      <c r="P12" s="22" t="s">
        <v>41</v>
      </c>
      <c r="Q12" s="22" t="s">
        <v>34</v>
      </c>
      <c r="R12" s="22" t="s">
        <v>33</v>
      </c>
      <c r="S12" s="22" t="s">
        <v>34</v>
      </c>
      <c r="T12" s="22" t="s">
        <v>34</v>
      </c>
      <c r="U12" s="22" t="s">
        <v>42</v>
      </c>
      <c r="V12" s="22" t="s">
        <v>43</v>
      </c>
      <c r="W12" s="22" t="s">
        <v>63</v>
      </c>
      <c r="X12" s="22" t="s">
        <v>34</v>
      </c>
      <c r="Y12" s="22" t="s">
        <v>116</v>
      </c>
    </row>
    <row r="13" spans="1:25" ht="45.6" x14ac:dyDescent="0.3">
      <c r="A13" s="15" t="s">
        <v>261</v>
      </c>
      <c r="B13" s="15" t="s">
        <v>122</v>
      </c>
      <c r="C13" s="15" t="s">
        <v>123</v>
      </c>
      <c r="D13" s="20" t="s">
        <v>124</v>
      </c>
      <c r="E13" s="13" t="s">
        <v>125</v>
      </c>
      <c r="F13" s="14"/>
      <c r="G13" s="14" t="s">
        <v>33</v>
      </c>
      <c r="H13" s="14" t="s">
        <v>34</v>
      </c>
      <c r="I13" s="14"/>
      <c r="J13" s="14" t="s">
        <v>35</v>
      </c>
      <c r="K13" s="14" t="s">
        <v>36</v>
      </c>
      <c r="L13" s="14" t="s">
        <v>262</v>
      </c>
      <c r="M13" s="14" t="s">
        <v>52</v>
      </c>
      <c r="N13" s="14" t="s">
        <v>59</v>
      </c>
      <c r="O13" s="14" t="s">
        <v>54</v>
      </c>
      <c r="P13" s="14" t="s">
        <v>107</v>
      </c>
      <c r="Q13" s="14" t="s">
        <v>34</v>
      </c>
      <c r="R13" s="14" t="s">
        <v>263</v>
      </c>
      <c r="S13" s="14" t="s">
        <v>34</v>
      </c>
      <c r="T13" s="14" t="s">
        <v>34</v>
      </c>
      <c r="U13" s="14" t="s">
        <v>34</v>
      </c>
      <c r="V13" s="14" t="s">
        <v>43</v>
      </c>
      <c r="W13" s="14" t="s">
        <v>44</v>
      </c>
      <c r="X13" s="14" t="s">
        <v>34</v>
      </c>
      <c r="Y13" s="14" t="s">
        <v>165</v>
      </c>
    </row>
    <row r="14" spans="1:25" ht="45.6" x14ac:dyDescent="0.3">
      <c r="A14" s="15" t="s">
        <v>264</v>
      </c>
      <c r="B14" s="15" t="s">
        <v>122</v>
      </c>
      <c r="C14" s="15" t="s">
        <v>123</v>
      </c>
      <c r="D14" s="20" t="s">
        <v>124</v>
      </c>
      <c r="E14" s="21" t="s">
        <v>125</v>
      </c>
      <c r="F14" s="22"/>
      <c r="G14" s="22" t="s">
        <v>33</v>
      </c>
      <c r="H14" s="22" t="s">
        <v>42</v>
      </c>
      <c r="I14" s="22" t="s">
        <v>167</v>
      </c>
      <c r="J14" s="22" t="s">
        <v>35</v>
      </c>
      <c r="K14" s="22" t="s">
        <v>36</v>
      </c>
      <c r="L14" s="22" t="s">
        <v>265</v>
      </c>
      <c r="M14" s="22" t="s">
        <v>225</v>
      </c>
      <c r="N14" s="22" t="s">
        <v>266</v>
      </c>
      <c r="O14" s="22" t="s">
        <v>54</v>
      </c>
      <c r="P14" s="22" t="s">
        <v>41</v>
      </c>
      <c r="Q14" s="22" t="s">
        <v>34</v>
      </c>
      <c r="R14" s="22" t="s">
        <v>33</v>
      </c>
      <c r="S14" s="22" t="s">
        <v>34</v>
      </c>
      <c r="T14" s="22" t="s">
        <v>34</v>
      </c>
      <c r="U14" s="22" t="s">
        <v>42</v>
      </c>
      <c r="V14" s="22" t="s">
        <v>43</v>
      </c>
      <c r="W14" s="22" t="s">
        <v>44</v>
      </c>
      <c r="X14" s="22" t="s">
        <v>34</v>
      </c>
      <c r="Y14" s="22" t="s">
        <v>45</v>
      </c>
    </row>
    <row r="15" spans="1:25" ht="22.8" x14ac:dyDescent="0.3">
      <c r="A15" s="15" t="s">
        <v>267</v>
      </c>
      <c r="B15" s="15" t="s">
        <v>122</v>
      </c>
      <c r="C15" s="15" t="s">
        <v>123</v>
      </c>
      <c r="D15" s="20" t="s">
        <v>268</v>
      </c>
      <c r="E15" s="13" t="s">
        <v>33</v>
      </c>
      <c r="F15" s="14"/>
      <c r="G15" s="14" t="s">
        <v>33</v>
      </c>
      <c r="H15" s="14" t="s">
        <v>34</v>
      </c>
      <c r="I15" s="14"/>
      <c r="J15" s="14" t="s">
        <v>33</v>
      </c>
      <c r="K15" s="14" t="s">
        <v>36</v>
      </c>
      <c r="L15" s="14" t="s">
        <v>33</v>
      </c>
      <c r="M15" s="14" t="s">
        <v>33</v>
      </c>
      <c r="N15" s="14" t="s">
        <v>33</v>
      </c>
      <c r="O15" s="14" t="s">
        <v>33</v>
      </c>
      <c r="P15" s="14" t="s">
        <v>33</v>
      </c>
      <c r="Q15" s="14" t="s">
        <v>34</v>
      </c>
      <c r="R15" s="14" t="s">
        <v>33</v>
      </c>
      <c r="S15" s="14" t="s">
        <v>34</v>
      </c>
      <c r="T15" s="14" t="s">
        <v>34</v>
      </c>
      <c r="U15" s="14" t="s">
        <v>34</v>
      </c>
      <c r="V15" s="14" t="s">
        <v>33</v>
      </c>
      <c r="W15" s="14" t="s">
        <v>44</v>
      </c>
      <c r="X15" s="14" t="s">
        <v>34</v>
      </c>
      <c r="Y15" s="14" t="s">
        <v>269</v>
      </c>
    </row>
    <row r="16" spans="1:25" ht="79.8" x14ac:dyDescent="0.3">
      <c r="A16" s="15" t="s">
        <v>275</v>
      </c>
      <c r="B16" s="15" t="s">
        <v>122</v>
      </c>
      <c r="C16" s="15" t="s">
        <v>123</v>
      </c>
      <c r="D16" s="20" t="s">
        <v>124</v>
      </c>
      <c r="E16" s="21" t="s">
        <v>125</v>
      </c>
      <c r="F16" s="22"/>
      <c r="G16" s="22" t="s">
        <v>33</v>
      </c>
      <c r="H16" s="22" t="s">
        <v>34</v>
      </c>
      <c r="I16" s="22"/>
      <c r="J16" s="22" t="s">
        <v>83</v>
      </c>
      <c r="K16" s="22" t="s">
        <v>36</v>
      </c>
      <c r="L16" s="22" t="s">
        <v>199</v>
      </c>
      <c r="M16" s="22" t="s">
        <v>38</v>
      </c>
      <c r="N16" s="22" t="s">
        <v>276</v>
      </c>
      <c r="O16" s="22" t="s">
        <v>40</v>
      </c>
      <c r="P16" s="22" t="s">
        <v>41</v>
      </c>
      <c r="Q16" s="22" t="s">
        <v>34</v>
      </c>
      <c r="R16" s="22" t="s">
        <v>33</v>
      </c>
      <c r="S16" s="22" t="s">
        <v>34</v>
      </c>
      <c r="T16" s="22" t="s">
        <v>34</v>
      </c>
      <c r="U16" s="22" t="s">
        <v>42</v>
      </c>
      <c r="V16" s="22" t="s">
        <v>62</v>
      </c>
      <c r="W16" s="22" t="s">
        <v>63</v>
      </c>
      <c r="X16" s="22" t="s">
        <v>34</v>
      </c>
      <c r="Y16" s="22" t="s">
        <v>173</v>
      </c>
    </row>
    <row r="17" spans="1:25" ht="57" x14ac:dyDescent="0.3">
      <c r="A17" s="15" t="s">
        <v>278</v>
      </c>
      <c r="B17" s="15" t="s">
        <v>122</v>
      </c>
      <c r="C17" s="15" t="s">
        <v>123</v>
      </c>
      <c r="D17" s="20" t="s">
        <v>124</v>
      </c>
      <c r="E17" s="13" t="s">
        <v>125</v>
      </c>
      <c r="F17" s="14"/>
      <c r="G17" s="14" t="s">
        <v>33</v>
      </c>
      <c r="H17" s="14" t="s">
        <v>42</v>
      </c>
      <c r="I17" s="14" t="s">
        <v>279</v>
      </c>
      <c r="J17" s="14" t="s">
        <v>83</v>
      </c>
      <c r="K17" s="14" t="s">
        <v>36</v>
      </c>
      <c r="L17" s="14" t="s">
        <v>280</v>
      </c>
      <c r="M17" s="14" t="s">
        <v>38</v>
      </c>
      <c r="N17" s="14" t="s">
        <v>281</v>
      </c>
      <c r="O17" s="14" t="s">
        <v>40</v>
      </c>
      <c r="P17" s="14" t="s">
        <v>41</v>
      </c>
      <c r="Q17" s="14" t="s">
        <v>34</v>
      </c>
      <c r="R17" s="14" t="s">
        <v>181</v>
      </c>
      <c r="S17" s="14" t="s">
        <v>34</v>
      </c>
      <c r="T17" s="14" t="s">
        <v>34</v>
      </c>
      <c r="U17" s="14" t="s">
        <v>42</v>
      </c>
      <c r="V17" s="14" t="s">
        <v>62</v>
      </c>
      <c r="W17" s="14" t="s">
        <v>63</v>
      </c>
      <c r="X17" s="14" t="s">
        <v>34</v>
      </c>
      <c r="Y17" s="14" t="s">
        <v>282</v>
      </c>
    </row>
    <row r="18" spans="1:25" ht="57" x14ac:dyDescent="0.3">
      <c r="A18" s="15" t="s">
        <v>283</v>
      </c>
      <c r="B18" s="15" t="s">
        <v>122</v>
      </c>
      <c r="C18" s="15" t="s">
        <v>123</v>
      </c>
      <c r="D18" s="20" t="s">
        <v>124</v>
      </c>
      <c r="E18" s="21" t="s">
        <v>125</v>
      </c>
      <c r="F18" s="22"/>
      <c r="G18" s="22" t="s">
        <v>33</v>
      </c>
      <c r="H18" s="22" t="s">
        <v>42</v>
      </c>
      <c r="I18" s="22" t="s">
        <v>284</v>
      </c>
      <c r="J18" s="22" t="s">
        <v>35</v>
      </c>
      <c r="K18" s="22" t="s">
        <v>36</v>
      </c>
      <c r="L18" s="22" t="s">
        <v>71</v>
      </c>
      <c r="M18" s="22" t="s">
        <v>52</v>
      </c>
      <c r="N18" s="22" t="s">
        <v>285</v>
      </c>
      <c r="O18" s="22" t="s">
        <v>54</v>
      </c>
      <c r="P18" s="22" t="s">
        <v>41</v>
      </c>
      <c r="Q18" s="22" t="s">
        <v>34</v>
      </c>
      <c r="R18" s="22" t="s">
        <v>33</v>
      </c>
      <c r="S18" s="22" t="s">
        <v>34</v>
      </c>
      <c r="T18" s="22" t="s">
        <v>34</v>
      </c>
      <c r="U18" s="22" t="s">
        <v>42</v>
      </c>
      <c r="V18" s="22" t="s">
        <v>43</v>
      </c>
      <c r="W18" s="22" t="s">
        <v>44</v>
      </c>
      <c r="X18" s="22" t="s">
        <v>34</v>
      </c>
      <c r="Y18" s="22" t="s">
        <v>45</v>
      </c>
    </row>
    <row r="19" spans="1:25" ht="79.8" x14ac:dyDescent="0.3">
      <c r="A19" s="15" t="s">
        <v>288</v>
      </c>
      <c r="B19" s="15" t="s">
        <v>122</v>
      </c>
      <c r="C19" s="15" t="s">
        <v>123</v>
      </c>
      <c r="D19" s="20" t="s">
        <v>124</v>
      </c>
      <c r="E19" s="13" t="s">
        <v>125</v>
      </c>
      <c r="F19" s="14"/>
      <c r="G19" s="14" t="s">
        <v>33</v>
      </c>
      <c r="H19" s="14" t="s">
        <v>34</v>
      </c>
      <c r="I19" s="14"/>
      <c r="J19" s="14" t="s">
        <v>35</v>
      </c>
      <c r="K19" s="14" t="s">
        <v>36</v>
      </c>
      <c r="L19" s="14" t="s">
        <v>289</v>
      </c>
      <c r="M19" s="14" t="s">
        <v>52</v>
      </c>
      <c r="N19" s="14" t="s">
        <v>290</v>
      </c>
      <c r="O19" s="14" t="s">
        <v>54</v>
      </c>
      <c r="P19" s="14" t="s">
        <v>60</v>
      </c>
      <c r="Q19" s="14" t="s">
        <v>34</v>
      </c>
      <c r="R19" s="14" t="s">
        <v>33</v>
      </c>
      <c r="S19" s="14" t="s">
        <v>34</v>
      </c>
      <c r="T19" s="14" t="s">
        <v>34</v>
      </c>
      <c r="U19" s="14" t="s">
        <v>42</v>
      </c>
      <c r="V19" s="14" t="s">
        <v>33</v>
      </c>
      <c r="W19" s="14" t="s">
        <v>33</v>
      </c>
      <c r="X19" s="14" t="s">
        <v>34</v>
      </c>
      <c r="Y19" s="14" t="s">
        <v>33</v>
      </c>
    </row>
    <row r="20" spans="1:25" ht="57" x14ac:dyDescent="0.3">
      <c r="A20" s="15" t="s">
        <v>291</v>
      </c>
      <c r="B20" s="15" t="s">
        <v>122</v>
      </c>
      <c r="C20" s="15" t="s">
        <v>123</v>
      </c>
      <c r="D20" s="20" t="s">
        <v>124</v>
      </c>
      <c r="E20" s="21" t="s">
        <v>125</v>
      </c>
      <c r="F20" s="22"/>
      <c r="G20" s="22" t="s">
        <v>33</v>
      </c>
      <c r="H20" s="22" t="s">
        <v>34</v>
      </c>
      <c r="I20" s="22"/>
      <c r="J20" s="22" t="s">
        <v>35</v>
      </c>
      <c r="K20" s="22" t="s">
        <v>36</v>
      </c>
      <c r="L20" s="22" t="s">
        <v>292</v>
      </c>
      <c r="M20" s="22" t="s">
        <v>52</v>
      </c>
      <c r="N20" s="22" t="s">
        <v>293</v>
      </c>
      <c r="O20" s="22" t="s">
        <v>40</v>
      </c>
      <c r="P20" s="22" t="s">
        <v>107</v>
      </c>
      <c r="Q20" s="22" t="s">
        <v>42</v>
      </c>
      <c r="R20" s="22" t="s">
        <v>236</v>
      </c>
      <c r="S20" s="22" t="s">
        <v>34</v>
      </c>
      <c r="T20" s="22" t="s">
        <v>34</v>
      </c>
      <c r="U20" s="22" t="s">
        <v>34</v>
      </c>
      <c r="V20" s="22" t="s">
        <v>62</v>
      </c>
      <c r="W20" s="22" t="s">
        <v>63</v>
      </c>
      <c r="X20" s="22" t="s">
        <v>34</v>
      </c>
      <c r="Y20" s="22" t="s">
        <v>173</v>
      </c>
    </row>
    <row r="21" spans="1:25" ht="15.75" customHeight="1" x14ac:dyDescent="0.3">
      <c r="A21" s="15" t="s">
        <v>294</v>
      </c>
      <c r="B21" s="15" t="s">
        <v>122</v>
      </c>
      <c r="C21" s="15" t="s">
        <v>123</v>
      </c>
      <c r="D21" s="20" t="s">
        <v>124</v>
      </c>
      <c r="E21" s="13" t="s">
        <v>125</v>
      </c>
      <c r="F21" s="14"/>
      <c r="G21" s="14" t="s">
        <v>33</v>
      </c>
      <c r="H21" s="14" t="s">
        <v>42</v>
      </c>
      <c r="I21" s="14" t="s">
        <v>167</v>
      </c>
      <c r="J21" s="14" t="s">
        <v>35</v>
      </c>
      <c r="K21" s="14" t="s">
        <v>36</v>
      </c>
      <c r="L21" s="14" t="s">
        <v>168</v>
      </c>
      <c r="M21" s="14" t="s">
        <v>113</v>
      </c>
      <c r="N21" s="14" t="s">
        <v>169</v>
      </c>
      <c r="O21" s="14" t="s">
        <v>170</v>
      </c>
      <c r="P21" s="14" t="s">
        <v>55</v>
      </c>
      <c r="Q21" s="14" t="s">
        <v>34</v>
      </c>
      <c r="R21" s="14" t="s">
        <v>33</v>
      </c>
      <c r="S21" s="14" t="s">
        <v>34</v>
      </c>
      <c r="T21" s="14" t="s">
        <v>34</v>
      </c>
      <c r="U21" s="14" t="s">
        <v>42</v>
      </c>
      <c r="V21" s="14" t="s">
        <v>62</v>
      </c>
      <c r="W21" s="14" t="s">
        <v>63</v>
      </c>
      <c r="X21" s="14" t="s">
        <v>34</v>
      </c>
      <c r="Y21" s="14" t="s">
        <v>108</v>
      </c>
    </row>
    <row r="22" spans="1:25" ht="15.75" customHeight="1" x14ac:dyDescent="0.3">
      <c r="A22" s="16" t="s">
        <v>402</v>
      </c>
      <c r="B22" s="16" t="s">
        <v>122</v>
      </c>
      <c r="C22" s="16" t="s">
        <v>403</v>
      </c>
      <c r="D22" s="18" t="s">
        <v>404</v>
      </c>
      <c r="E22" s="21" t="s">
        <v>32</v>
      </c>
      <c r="F22" s="22"/>
      <c r="G22" s="22" t="s">
        <v>405</v>
      </c>
      <c r="H22" s="22" t="s">
        <v>42</v>
      </c>
      <c r="I22" s="22" t="s">
        <v>406</v>
      </c>
      <c r="J22" s="22" t="s">
        <v>126</v>
      </c>
      <c r="K22" s="22" t="s">
        <v>42</v>
      </c>
      <c r="L22" s="22" t="s">
        <v>313</v>
      </c>
      <c r="M22" s="22" t="s">
        <v>52</v>
      </c>
      <c r="N22" s="22" t="s">
        <v>407</v>
      </c>
      <c r="O22" s="22" t="s">
        <v>40</v>
      </c>
      <c r="P22" s="22" t="s">
        <v>408</v>
      </c>
      <c r="Q22" s="22" t="s">
        <v>42</v>
      </c>
      <c r="R22" s="22" t="s">
        <v>409</v>
      </c>
      <c r="S22" s="22" t="s">
        <v>42</v>
      </c>
      <c r="T22" s="22" t="s">
        <v>34</v>
      </c>
      <c r="U22" s="22" t="s">
        <v>42</v>
      </c>
      <c r="V22" s="22" t="s">
        <v>33</v>
      </c>
      <c r="W22" s="22" t="s">
        <v>33</v>
      </c>
      <c r="X22" s="22" t="s">
        <v>34</v>
      </c>
      <c r="Y22" s="22" t="s">
        <v>33</v>
      </c>
    </row>
    <row r="23" spans="1:25" ht="15.75" customHeight="1" x14ac:dyDescent="0.3">
      <c r="A23" s="15" t="s">
        <v>443</v>
      </c>
      <c r="B23" s="15" t="s">
        <v>122</v>
      </c>
      <c r="C23" s="15" t="s">
        <v>123</v>
      </c>
      <c r="D23" s="20" t="s">
        <v>124</v>
      </c>
      <c r="E23" s="13" t="s">
        <v>125</v>
      </c>
      <c r="F23" s="14"/>
      <c r="G23" s="14" t="s">
        <v>92</v>
      </c>
      <c r="H23" s="14" t="s">
        <v>34</v>
      </c>
      <c r="I23" s="14"/>
      <c r="J23" s="14" t="s">
        <v>35</v>
      </c>
      <c r="K23" s="14" t="s">
        <v>42</v>
      </c>
      <c r="L23" s="14" t="s">
        <v>328</v>
      </c>
      <c r="M23" s="14" t="s">
        <v>225</v>
      </c>
      <c r="N23" s="14" t="s">
        <v>444</v>
      </c>
      <c r="O23" s="14" t="s">
        <v>40</v>
      </c>
      <c r="P23" s="14" t="s">
        <v>41</v>
      </c>
      <c r="Q23" s="14" t="s">
        <v>42</v>
      </c>
      <c r="R23" s="14" t="s">
        <v>445</v>
      </c>
      <c r="S23" s="14" t="s">
        <v>34</v>
      </c>
      <c r="T23" s="14" t="s">
        <v>34</v>
      </c>
      <c r="U23" s="14" t="s">
        <v>42</v>
      </c>
      <c r="V23" s="14" t="s">
        <v>43</v>
      </c>
      <c r="W23" s="14" t="s">
        <v>44</v>
      </c>
      <c r="X23" s="14" t="s">
        <v>34</v>
      </c>
      <c r="Y23" s="14" t="s">
        <v>45</v>
      </c>
    </row>
    <row r="24" spans="1:25" ht="15.75" customHeight="1" x14ac:dyDescent="0.3"/>
    <row r="25" spans="1:25" ht="15.75" customHeight="1" x14ac:dyDescent="0.3"/>
    <row r="26" spans="1:25" ht="15.75" customHeight="1" x14ac:dyDescent="0.3"/>
    <row r="27" spans="1:25" ht="15.75" customHeight="1" x14ac:dyDescent="0.3"/>
    <row r="28" spans="1:25" ht="15.75" customHeight="1" x14ac:dyDescent="0.3"/>
    <row r="29" spans="1:25" ht="15.75" customHeight="1" x14ac:dyDescent="0.3"/>
    <row r="30" spans="1:25" ht="15.75" customHeight="1" x14ac:dyDescent="0.3"/>
    <row r="31" spans="1:25" ht="15.75" customHeight="1" x14ac:dyDescent="0.3"/>
    <row r="32" spans="1:2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A1:Y1"/>
  </mergeCells>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1000"/>
  <sheetViews>
    <sheetView showGridLines="0" workbookViewId="0">
      <selection activeCell="D21" sqref="D21"/>
    </sheetView>
  </sheetViews>
  <sheetFormatPr baseColWidth="10" defaultColWidth="14.44140625" defaultRowHeight="15" customHeight="1" x14ac:dyDescent="0.3"/>
  <cols>
    <col min="1" max="1" width="10" customWidth="1"/>
    <col min="2" max="2" width="14" customWidth="1"/>
    <col min="3" max="3" width="12" customWidth="1"/>
    <col min="4" max="4" width="55" customWidth="1"/>
    <col min="5" max="5" width="16" customWidth="1"/>
    <col min="6" max="26" width="8.6640625" customWidth="1"/>
  </cols>
  <sheetData>
    <row r="1" spans="1:25" ht="27.75" customHeight="1" x14ac:dyDescent="0.3">
      <c r="A1" s="54" t="s">
        <v>450</v>
      </c>
      <c r="B1" s="45"/>
      <c r="C1" s="45"/>
      <c r="D1" s="45"/>
      <c r="E1" s="45"/>
      <c r="F1" s="45"/>
      <c r="G1" s="45"/>
      <c r="H1" s="45"/>
      <c r="I1" s="45"/>
      <c r="J1" s="45"/>
      <c r="K1" s="45"/>
      <c r="L1" s="45"/>
      <c r="M1" s="45"/>
      <c r="N1" s="45"/>
      <c r="O1" s="45"/>
      <c r="P1" s="45"/>
      <c r="Q1" s="45"/>
      <c r="R1" s="45"/>
      <c r="S1" s="45"/>
      <c r="T1" s="45"/>
      <c r="U1" s="45"/>
      <c r="V1" s="45"/>
      <c r="W1" s="45"/>
      <c r="X1" s="45"/>
      <c r="Y1" s="46"/>
    </row>
    <row r="2" spans="1:25" ht="48" x14ac:dyDescent="0.3">
      <c r="A2" s="1" t="s">
        <v>1</v>
      </c>
      <c r="B2" s="17" t="s">
        <v>447</v>
      </c>
      <c r="C2" s="17" t="s">
        <v>448</v>
      </c>
      <c r="D2" s="17" t="s">
        <v>449</v>
      </c>
      <c r="E2" s="1" t="s">
        <v>9</v>
      </c>
      <c r="F2" s="1" t="s">
        <v>10</v>
      </c>
      <c r="G2" s="1" t="s">
        <v>11</v>
      </c>
      <c r="H2" s="1" t="s">
        <v>12</v>
      </c>
      <c r="I2" s="1" t="s">
        <v>13</v>
      </c>
      <c r="J2" s="1" t="s">
        <v>14</v>
      </c>
      <c r="K2" s="1" t="s">
        <v>15</v>
      </c>
      <c r="L2" s="1" t="s">
        <v>16</v>
      </c>
      <c r="M2" s="1" t="s">
        <v>17</v>
      </c>
      <c r="N2" s="1" t="s">
        <v>18</v>
      </c>
      <c r="O2" s="1" t="s">
        <v>19</v>
      </c>
      <c r="P2" s="1" t="s">
        <v>20</v>
      </c>
      <c r="Q2" s="1" t="s">
        <v>21</v>
      </c>
      <c r="R2" s="1" t="s">
        <v>22</v>
      </c>
      <c r="S2" s="1" t="s">
        <v>23</v>
      </c>
      <c r="T2" s="1" t="s">
        <v>24</v>
      </c>
      <c r="U2" s="1" t="s">
        <v>25</v>
      </c>
      <c r="V2" s="1" t="s">
        <v>26</v>
      </c>
      <c r="W2" s="1" t="s">
        <v>27</v>
      </c>
      <c r="X2" s="1" t="s">
        <v>28</v>
      </c>
      <c r="Y2" s="1" t="s">
        <v>29</v>
      </c>
    </row>
    <row r="3" spans="1:25" ht="34.200000000000003" x14ac:dyDescent="0.3">
      <c r="A3" s="16" t="s">
        <v>101</v>
      </c>
      <c r="B3" s="16" t="s">
        <v>102</v>
      </c>
      <c r="C3" s="16" t="s">
        <v>103</v>
      </c>
      <c r="D3" s="18" t="s">
        <v>104</v>
      </c>
      <c r="E3" s="13" t="s">
        <v>32</v>
      </c>
      <c r="F3" s="14"/>
      <c r="G3" s="14" t="s">
        <v>105</v>
      </c>
      <c r="H3" s="14" t="s">
        <v>34</v>
      </c>
      <c r="I3" s="14"/>
      <c r="J3" s="14" t="s">
        <v>33</v>
      </c>
      <c r="K3" s="14" t="s">
        <v>36</v>
      </c>
      <c r="L3" s="14" t="s">
        <v>33</v>
      </c>
      <c r="M3" s="14" t="s">
        <v>52</v>
      </c>
      <c r="N3" s="14" t="s">
        <v>33</v>
      </c>
      <c r="O3" s="14" t="s">
        <v>54</v>
      </c>
      <c r="P3" s="14" t="s">
        <v>107</v>
      </c>
      <c r="Q3" s="14" t="s">
        <v>34</v>
      </c>
      <c r="R3" s="14" t="s">
        <v>33</v>
      </c>
      <c r="S3" s="14" t="s">
        <v>34</v>
      </c>
      <c r="T3" s="14" t="s">
        <v>34</v>
      </c>
      <c r="U3" s="14" t="s">
        <v>34</v>
      </c>
      <c r="V3" s="14" t="s">
        <v>62</v>
      </c>
      <c r="W3" s="14" t="s">
        <v>63</v>
      </c>
      <c r="X3" s="14" t="s">
        <v>34</v>
      </c>
      <c r="Y3" s="14" t="s">
        <v>108</v>
      </c>
    </row>
    <row r="4" spans="1:25" ht="34.200000000000003" x14ac:dyDescent="0.3">
      <c r="A4" s="16" t="s">
        <v>156</v>
      </c>
      <c r="B4" s="16" t="s">
        <v>102</v>
      </c>
      <c r="C4" s="16" t="s">
        <v>103</v>
      </c>
      <c r="D4" s="18" t="s">
        <v>104</v>
      </c>
      <c r="E4" s="13" t="s">
        <v>32</v>
      </c>
      <c r="F4" s="14"/>
      <c r="G4" s="14" t="s">
        <v>391</v>
      </c>
      <c r="H4" s="14" t="s">
        <v>34</v>
      </c>
      <c r="I4" s="14"/>
      <c r="J4" s="14" t="s">
        <v>33</v>
      </c>
      <c r="K4" s="14" t="s">
        <v>36</v>
      </c>
      <c r="L4" s="14" t="s">
        <v>33</v>
      </c>
      <c r="M4" s="14" t="s">
        <v>52</v>
      </c>
      <c r="N4" s="14" t="s">
        <v>72</v>
      </c>
      <c r="O4" s="14" t="s">
        <v>54</v>
      </c>
      <c r="P4" s="14" t="s">
        <v>88</v>
      </c>
      <c r="Q4" s="14" t="s">
        <v>34</v>
      </c>
      <c r="R4" s="14" t="s">
        <v>33</v>
      </c>
      <c r="S4" s="14" t="s">
        <v>34</v>
      </c>
      <c r="T4" s="14" t="s">
        <v>34</v>
      </c>
      <c r="U4" s="14" t="s">
        <v>34</v>
      </c>
      <c r="V4" s="14" t="s">
        <v>62</v>
      </c>
      <c r="W4" s="14" t="s">
        <v>63</v>
      </c>
      <c r="X4" s="14" t="s">
        <v>34</v>
      </c>
      <c r="Y4" s="14" t="s">
        <v>68</v>
      </c>
    </row>
    <row r="5" spans="1:25" ht="22.8" x14ac:dyDescent="0.3">
      <c r="A5" s="16" t="s">
        <v>239</v>
      </c>
      <c r="B5" s="16" t="s">
        <v>102</v>
      </c>
      <c r="C5" s="16" t="s">
        <v>240</v>
      </c>
      <c r="D5" s="18" t="s">
        <v>241</v>
      </c>
      <c r="E5" s="13" t="s">
        <v>70</v>
      </c>
      <c r="F5" s="14"/>
      <c r="G5" s="14" t="s">
        <v>33</v>
      </c>
      <c r="H5" s="14" t="s">
        <v>34</v>
      </c>
      <c r="I5" s="14"/>
      <c r="J5" s="14" t="s">
        <v>35</v>
      </c>
      <c r="K5" s="14" t="s">
        <v>36</v>
      </c>
      <c r="L5" s="14" t="s">
        <v>451</v>
      </c>
      <c r="M5" s="14" t="s">
        <v>33</v>
      </c>
      <c r="N5" s="14" t="s">
        <v>33</v>
      </c>
      <c r="O5" s="14" t="s">
        <v>54</v>
      </c>
      <c r="P5" s="14" t="s">
        <v>60</v>
      </c>
      <c r="Q5" s="14" t="s">
        <v>56</v>
      </c>
      <c r="R5" s="14" t="s">
        <v>236</v>
      </c>
      <c r="S5" s="14" t="s">
        <v>34</v>
      </c>
      <c r="T5" s="14" t="s">
        <v>34</v>
      </c>
      <c r="U5" s="14" t="s">
        <v>42</v>
      </c>
      <c r="V5" s="14" t="s">
        <v>43</v>
      </c>
      <c r="W5" s="14" t="s">
        <v>44</v>
      </c>
      <c r="X5" s="14" t="s">
        <v>34</v>
      </c>
      <c r="Y5" s="14" t="s">
        <v>45</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A1:Y1"/>
  </mergeCells>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1000"/>
  <sheetViews>
    <sheetView showGridLines="0" workbookViewId="0">
      <pane xSplit="1" ySplit="2" topLeftCell="B3" activePane="bottomRight" state="frozen"/>
      <selection pane="topRight" activeCell="B1" sqref="B1"/>
      <selection pane="bottomLeft" activeCell="A3" sqref="A3"/>
      <selection pane="bottomRight" activeCell="B3" sqref="B3"/>
    </sheetView>
  </sheetViews>
  <sheetFormatPr baseColWidth="10" defaultColWidth="14.44140625" defaultRowHeight="15" customHeight="1" x14ac:dyDescent="0.3"/>
  <cols>
    <col min="1" max="1" width="10" customWidth="1"/>
    <col min="2" max="3" width="12" customWidth="1"/>
    <col min="4" max="4" width="55" customWidth="1"/>
    <col min="5" max="8" width="16" customWidth="1"/>
    <col min="9" max="9" width="32" customWidth="1"/>
    <col min="10" max="11" width="16" customWidth="1"/>
    <col min="12" max="12" width="32" customWidth="1"/>
    <col min="13" max="13" width="16" customWidth="1"/>
    <col min="14" max="14" width="32" customWidth="1"/>
    <col min="15" max="15" width="16" customWidth="1"/>
    <col min="16" max="16" width="32" customWidth="1"/>
    <col min="17" max="17" width="16" customWidth="1"/>
    <col min="18" max="18" width="32" customWidth="1"/>
    <col min="19" max="25" width="16" customWidth="1"/>
    <col min="26" max="26" width="8.6640625" customWidth="1"/>
  </cols>
  <sheetData>
    <row r="1" spans="1:25" ht="27.75" customHeight="1" x14ac:dyDescent="0.3">
      <c r="A1" s="55" t="s">
        <v>452</v>
      </c>
      <c r="B1" s="45"/>
      <c r="C1" s="45"/>
      <c r="D1" s="45"/>
      <c r="E1" s="45"/>
      <c r="F1" s="45"/>
      <c r="G1" s="45"/>
      <c r="H1" s="45"/>
      <c r="I1" s="45"/>
      <c r="J1" s="45"/>
      <c r="K1" s="45"/>
      <c r="L1" s="45"/>
      <c r="M1" s="45"/>
      <c r="N1" s="45"/>
      <c r="O1" s="45"/>
      <c r="P1" s="45"/>
      <c r="Q1" s="45"/>
      <c r="R1" s="45"/>
      <c r="S1" s="45"/>
      <c r="T1" s="45"/>
      <c r="U1" s="45"/>
      <c r="V1" s="45"/>
      <c r="W1" s="45"/>
      <c r="X1" s="45"/>
      <c r="Y1" s="46"/>
    </row>
    <row r="2" spans="1:25" ht="24" x14ac:dyDescent="0.3">
      <c r="A2" s="1" t="s">
        <v>1</v>
      </c>
      <c r="B2" s="23" t="s">
        <v>447</v>
      </c>
      <c r="C2" s="23" t="s">
        <v>448</v>
      </c>
      <c r="D2" s="23" t="s">
        <v>449</v>
      </c>
      <c r="E2" s="1" t="s">
        <v>9</v>
      </c>
      <c r="F2" s="1" t="s">
        <v>10</v>
      </c>
      <c r="G2" s="1" t="s">
        <v>11</v>
      </c>
      <c r="H2" s="1" t="s">
        <v>12</v>
      </c>
      <c r="I2" s="1" t="s">
        <v>13</v>
      </c>
      <c r="J2" s="1" t="s">
        <v>14</v>
      </c>
      <c r="K2" s="1" t="s">
        <v>15</v>
      </c>
      <c r="L2" s="1" t="s">
        <v>16</v>
      </c>
      <c r="M2" s="1" t="s">
        <v>17</v>
      </c>
      <c r="N2" s="1" t="s">
        <v>18</v>
      </c>
      <c r="O2" s="1" t="s">
        <v>19</v>
      </c>
      <c r="P2" s="1" t="s">
        <v>20</v>
      </c>
      <c r="Q2" s="1" t="s">
        <v>21</v>
      </c>
      <c r="R2" s="1" t="s">
        <v>22</v>
      </c>
      <c r="S2" s="1" t="s">
        <v>23</v>
      </c>
      <c r="T2" s="1" t="s">
        <v>24</v>
      </c>
      <c r="U2" s="1" t="s">
        <v>25</v>
      </c>
      <c r="V2" s="1" t="s">
        <v>26</v>
      </c>
      <c r="W2" s="1" t="s">
        <v>27</v>
      </c>
      <c r="X2" s="1" t="s">
        <v>28</v>
      </c>
      <c r="Y2" s="1" t="s">
        <v>29</v>
      </c>
    </row>
    <row r="3" spans="1:25" ht="14.4" x14ac:dyDescent="0.3">
      <c r="A3" s="9" t="s">
        <v>30</v>
      </c>
      <c r="B3" s="9" t="s">
        <v>31</v>
      </c>
      <c r="C3" s="9"/>
      <c r="D3" s="11"/>
      <c r="E3" s="12" t="s">
        <v>32</v>
      </c>
      <c r="F3" s="14"/>
      <c r="G3" s="14" t="s">
        <v>33</v>
      </c>
      <c r="H3" s="14" t="s">
        <v>34</v>
      </c>
      <c r="I3" s="14"/>
      <c r="J3" s="13" t="s">
        <v>35</v>
      </c>
      <c r="K3" s="14" t="s">
        <v>36</v>
      </c>
      <c r="L3" s="14" t="s">
        <v>37</v>
      </c>
      <c r="M3" s="13" t="s">
        <v>38</v>
      </c>
      <c r="N3" s="14" t="s">
        <v>39</v>
      </c>
      <c r="O3" s="13" t="s">
        <v>40</v>
      </c>
      <c r="P3" s="14" t="s">
        <v>41</v>
      </c>
      <c r="Q3" s="14" t="s">
        <v>34</v>
      </c>
      <c r="R3" s="14" t="s">
        <v>33</v>
      </c>
      <c r="S3" s="14" t="s">
        <v>34</v>
      </c>
      <c r="T3" s="14" t="s">
        <v>34</v>
      </c>
      <c r="U3" s="14" t="s">
        <v>42</v>
      </c>
      <c r="V3" s="14" t="s">
        <v>43</v>
      </c>
      <c r="W3" s="14" t="s">
        <v>44</v>
      </c>
      <c r="X3" s="14" t="s">
        <v>34</v>
      </c>
      <c r="Y3" s="14" t="s">
        <v>45</v>
      </c>
    </row>
    <row r="4" spans="1:25" ht="22.8" x14ac:dyDescent="0.3">
      <c r="A4" s="9" t="s">
        <v>46</v>
      </c>
      <c r="B4" s="9" t="s">
        <v>31</v>
      </c>
      <c r="C4" s="9"/>
      <c r="D4" s="11"/>
      <c r="E4" s="15" t="s">
        <v>47</v>
      </c>
      <c r="F4" s="22" t="s">
        <v>48</v>
      </c>
      <c r="G4" s="22" t="s">
        <v>49</v>
      </c>
      <c r="H4" s="22" t="s">
        <v>42</v>
      </c>
      <c r="I4" s="22" t="s">
        <v>50</v>
      </c>
      <c r="J4" s="21" t="s">
        <v>35</v>
      </c>
      <c r="K4" s="22" t="s">
        <v>42</v>
      </c>
      <c r="L4" s="22" t="s">
        <v>51</v>
      </c>
      <c r="M4" s="21" t="s">
        <v>52</v>
      </c>
      <c r="N4" s="22" t="s">
        <v>53</v>
      </c>
      <c r="O4" s="21" t="s">
        <v>54</v>
      </c>
      <c r="P4" s="22" t="s">
        <v>55</v>
      </c>
      <c r="Q4" s="22" t="s">
        <v>56</v>
      </c>
      <c r="R4" s="22" t="s">
        <v>33</v>
      </c>
      <c r="S4" s="22" t="s">
        <v>34</v>
      </c>
      <c r="T4" s="22" t="s">
        <v>34</v>
      </c>
      <c r="U4" s="22" t="s">
        <v>34</v>
      </c>
      <c r="V4" s="22" t="s">
        <v>43</v>
      </c>
      <c r="W4" s="22" t="s">
        <v>44</v>
      </c>
      <c r="X4" s="22" t="s">
        <v>34</v>
      </c>
      <c r="Y4" s="22" t="s">
        <v>45</v>
      </c>
    </row>
    <row r="5" spans="1:25" ht="22.8" x14ac:dyDescent="0.3">
      <c r="A5" s="9" t="s">
        <v>57</v>
      </c>
      <c r="B5" s="9" t="s">
        <v>31</v>
      </c>
      <c r="C5" s="9"/>
      <c r="D5" s="11"/>
      <c r="E5" s="12" t="s">
        <v>32</v>
      </c>
      <c r="F5" s="14"/>
      <c r="G5" s="14" t="s">
        <v>33</v>
      </c>
      <c r="H5" s="14" t="s">
        <v>34</v>
      </c>
      <c r="I5" s="14"/>
      <c r="J5" s="13" t="s">
        <v>35</v>
      </c>
      <c r="K5" s="14" t="s">
        <v>36</v>
      </c>
      <c r="L5" s="14" t="s">
        <v>58</v>
      </c>
      <c r="M5" s="13" t="s">
        <v>38</v>
      </c>
      <c r="N5" s="14" t="s">
        <v>59</v>
      </c>
      <c r="O5" s="13" t="s">
        <v>60</v>
      </c>
      <c r="P5" s="14" t="s">
        <v>60</v>
      </c>
      <c r="Q5" s="14" t="s">
        <v>34</v>
      </c>
      <c r="R5" s="14" t="s">
        <v>61</v>
      </c>
      <c r="S5" s="14" t="s">
        <v>42</v>
      </c>
      <c r="T5" s="14" t="s">
        <v>34</v>
      </c>
      <c r="U5" s="14" t="s">
        <v>42</v>
      </c>
      <c r="V5" s="14" t="s">
        <v>62</v>
      </c>
      <c r="W5" s="14" t="s">
        <v>63</v>
      </c>
      <c r="X5" s="14" t="s">
        <v>34</v>
      </c>
      <c r="Y5" s="14" t="s">
        <v>64</v>
      </c>
    </row>
    <row r="6" spans="1:25" ht="14.4" x14ac:dyDescent="0.3">
      <c r="A6" s="9" t="s">
        <v>65</v>
      </c>
      <c r="B6" s="9" t="s">
        <v>31</v>
      </c>
      <c r="C6" s="9"/>
      <c r="D6" s="11"/>
      <c r="E6" s="12" t="s">
        <v>32</v>
      </c>
      <c r="F6" s="22"/>
      <c r="G6" s="22" t="s">
        <v>33</v>
      </c>
      <c r="H6" s="22" t="s">
        <v>42</v>
      </c>
      <c r="I6" s="22" t="s">
        <v>66</v>
      </c>
      <c r="J6" s="21" t="s">
        <v>35</v>
      </c>
      <c r="K6" s="22" t="s">
        <v>42</v>
      </c>
      <c r="L6" s="22" t="s">
        <v>67</v>
      </c>
      <c r="M6" s="21" t="s">
        <v>38</v>
      </c>
      <c r="N6" s="22" t="s">
        <v>39</v>
      </c>
      <c r="O6" s="21" t="s">
        <v>60</v>
      </c>
      <c r="P6" s="22" t="s">
        <v>60</v>
      </c>
      <c r="Q6" s="22" t="s">
        <v>34</v>
      </c>
      <c r="R6" s="22" t="s">
        <v>33</v>
      </c>
      <c r="S6" s="22" t="s">
        <v>34</v>
      </c>
      <c r="T6" s="22" t="s">
        <v>34</v>
      </c>
      <c r="U6" s="22" t="s">
        <v>42</v>
      </c>
      <c r="V6" s="22" t="s">
        <v>62</v>
      </c>
      <c r="W6" s="22" t="s">
        <v>63</v>
      </c>
      <c r="X6" s="22" t="s">
        <v>34</v>
      </c>
      <c r="Y6" s="22" t="s">
        <v>68</v>
      </c>
    </row>
    <row r="7" spans="1:25" ht="14.4" x14ac:dyDescent="0.3">
      <c r="A7" s="9" t="s">
        <v>69</v>
      </c>
      <c r="B7" s="9" t="s">
        <v>31</v>
      </c>
      <c r="C7" s="9"/>
      <c r="D7" s="11"/>
      <c r="E7" s="9" t="s">
        <v>70</v>
      </c>
      <c r="F7" s="14"/>
      <c r="G7" s="14" t="s">
        <v>33</v>
      </c>
      <c r="H7" s="14" t="s">
        <v>34</v>
      </c>
      <c r="I7" s="14"/>
      <c r="J7" s="13" t="s">
        <v>35</v>
      </c>
      <c r="K7" s="14" t="s">
        <v>42</v>
      </c>
      <c r="L7" s="14" t="s">
        <v>71</v>
      </c>
      <c r="M7" s="13" t="s">
        <v>52</v>
      </c>
      <c r="N7" s="14" t="s">
        <v>72</v>
      </c>
      <c r="O7" s="13" t="s">
        <v>54</v>
      </c>
      <c r="P7" s="14" t="s">
        <v>60</v>
      </c>
      <c r="Q7" s="14" t="s">
        <v>34</v>
      </c>
      <c r="R7" s="14" t="s">
        <v>33</v>
      </c>
      <c r="S7" s="14" t="s">
        <v>34</v>
      </c>
      <c r="T7" s="14" t="s">
        <v>34</v>
      </c>
      <c r="U7" s="14" t="s">
        <v>42</v>
      </c>
      <c r="V7" s="14" t="s">
        <v>43</v>
      </c>
      <c r="W7" s="14" t="s">
        <v>44</v>
      </c>
      <c r="X7" s="14" t="s">
        <v>34</v>
      </c>
      <c r="Y7" s="14" t="s">
        <v>45</v>
      </c>
    </row>
    <row r="8" spans="1:25" ht="14.4" x14ac:dyDescent="0.3">
      <c r="A8" s="9" t="s">
        <v>73</v>
      </c>
      <c r="B8" s="9" t="s">
        <v>31</v>
      </c>
      <c r="C8" s="9"/>
      <c r="D8" s="11"/>
      <c r="E8" s="12" t="s">
        <v>32</v>
      </c>
      <c r="F8" s="22"/>
      <c r="G8" s="22" t="s">
        <v>74</v>
      </c>
      <c r="H8" s="22" t="s">
        <v>34</v>
      </c>
      <c r="I8" s="22"/>
      <c r="J8" s="21" t="s">
        <v>35</v>
      </c>
      <c r="K8" s="22" t="s">
        <v>36</v>
      </c>
      <c r="L8" s="22" t="s">
        <v>75</v>
      </c>
      <c r="M8" s="21" t="s">
        <v>52</v>
      </c>
      <c r="N8" s="22" t="s">
        <v>76</v>
      </c>
      <c r="O8" s="21" t="s">
        <v>54</v>
      </c>
      <c r="P8" s="22" t="s">
        <v>41</v>
      </c>
      <c r="Q8" s="22" t="s">
        <v>56</v>
      </c>
      <c r="R8" s="22" t="s">
        <v>33</v>
      </c>
      <c r="S8" s="22" t="s">
        <v>34</v>
      </c>
      <c r="T8" s="22" t="s">
        <v>42</v>
      </c>
      <c r="U8" s="22" t="s">
        <v>42</v>
      </c>
      <c r="V8" s="22" t="s">
        <v>62</v>
      </c>
      <c r="W8" s="22" t="s">
        <v>63</v>
      </c>
      <c r="X8" s="22" t="s">
        <v>34</v>
      </c>
      <c r="Y8" s="22" t="s">
        <v>68</v>
      </c>
    </row>
    <row r="9" spans="1:25" ht="14.4" x14ac:dyDescent="0.3">
      <c r="A9" s="9" t="s">
        <v>77</v>
      </c>
      <c r="B9" s="9" t="s">
        <v>31</v>
      </c>
      <c r="C9" s="9"/>
      <c r="D9" s="11"/>
      <c r="E9" s="12" t="s">
        <v>32</v>
      </c>
      <c r="F9" s="14"/>
      <c r="G9" s="14" t="s">
        <v>33</v>
      </c>
      <c r="H9" s="14" t="s">
        <v>42</v>
      </c>
      <c r="I9" s="14" t="s">
        <v>78</v>
      </c>
      <c r="J9" s="13" t="s">
        <v>35</v>
      </c>
      <c r="K9" s="14" t="s">
        <v>42</v>
      </c>
      <c r="L9" s="14" t="s">
        <v>79</v>
      </c>
      <c r="M9" s="13" t="s">
        <v>52</v>
      </c>
      <c r="N9" s="14" t="s">
        <v>33</v>
      </c>
      <c r="O9" s="13" t="s">
        <v>60</v>
      </c>
      <c r="P9" s="14" t="s">
        <v>55</v>
      </c>
      <c r="Q9" s="14" t="s">
        <v>56</v>
      </c>
      <c r="R9" s="14" t="s">
        <v>33</v>
      </c>
      <c r="S9" s="14" t="s">
        <v>34</v>
      </c>
      <c r="T9" s="14" t="s">
        <v>34</v>
      </c>
      <c r="U9" s="14" t="s">
        <v>34</v>
      </c>
      <c r="V9" s="14" t="s">
        <v>62</v>
      </c>
      <c r="W9" s="14" t="s">
        <v>63</v>
      </c>
      <c r="X9" s="14" t="s">
        <v>34</v>
      </c>
      <c r="Y9" s="14" t="s">
        <v>80</v>
      </c>
    </row>
    <row r="10" spans="1:25" ht="22.8" x14ac:dyDescent="0.3">
      <c r="A10" s="9" t="s">
        <v>81</v>
      </c>
      <c r="B10" s="9" t="s">
        <v>31</v>
      </c>
      <c r="C10" s="9"/>
      <c r="D10" s="11"/>
      <c r="E10" s="12" t="s">
        <v>32</v>
      </c>
      <c r="F10" s="22"/>
      <c r="G10" s="22" t="s">
        <v>82</v>
      </c>
      <c r="H10" s="22" t="s">
        <v>34</v>
      </c>
      <c r="I10" s="22"/>
      <c r="J10" s="21" t="s">
        <v>83</v>
      </c>
      <c r="K10" s="22" t="s">
        <v>42</v>
      </c>
      <c r="L10" s="22" t="s">
        <v>84</v>
      </c>
      <c r="M10" s="21" t="s">
        <v>52</v>
      </c>
      <c r="N10" s="22" t="s">
        <v>85</v>
      </c>
      <c r="O10" s="21" t="s">
        <v>54</v>
      </c>
      <c r="P10" s="22" t="s">
        <v>60</v>
      </c>
      <c r="Q10" s="22" t="s">
        <v>34</v>
      </c>
      <c r="R10" s="22" t="s">
        <v>33</v>
      </c>
      <c r="S10" s="22" t="s">
        <v>34</v>
      </c>
      <c r="T10" s="22" t="s">
        <v>34</v>
      </c>
      <c r="U10" s="22" t="s">
        <v>42</v>
      </c>
      <c r="V10" s="22" t="s">
        <v>62</v>
      </c>
      <c r="W10" s="22" t="s">
        <v>63</v>
      </c>
      <c r="X10" s="22" t="s">
        <v>34</v>
      </c>
      <c r="Y10" s="22" t="s">
        <v>86</v>
      </c>
    </row>
    <row r="11" spans="1:25" ht="14.4" x14ac:dyDescent="0.3">
      <c r="A11" s="9" t="s">
        <v>87</v>
      </c>
      <c r="B11" s="9" t="s">
        <v>31</v>
      </c>
      <c r="C11" s="9"/>
      <c r="D11" s="11"/>
      <c r="E11" s="12" t="s">
        <v>32</v>
      </c>
      <c r="F11" s="14"/>
      <c r="G11" s="14" t="s">
        <v>33</v>
      </c>
      <c r="H11" s="14" t="s">
        <v>34</v>
      </c>
      <c r="I11" s="14"/>
      <c r="J11" s="13" t="s">
        <v>35</v>
      </c>
      <c r="K11" s="14" t="s">
        <v>42</v>
      </c>
      <c r="L11" s="14" t="s">
        <v>33</v>
      </c>
      <c r="M11" s="13" t="s">
        <v>52</v>
      </c>
      <c r="N11" s="14" t="s">
        <v>33</v>
      </c>
      <c r="O11" s="13" t="s">
        <v>33</v>
      </c>
      <c r="P11" s="14" t="s">
        <v>88</v>
      </c>
      <c r="Q11" s="14" t="s">
        <v>56</v>
      </c>
      <c r="R11" s="14" t="s">
        <v>89</v>
      </c>
      <c r="S11" s="14" t="s">
        <v>34</v>
      </c>
      <c r="T11" s="14" t="s">
        <v>34</v>
      </c>
      <c r="U11" s="14" t="s">
        <v>34</v>
      </c>
      <c r="V11" s="14" t="s">
        <v>62</v>
      </c>
      <c r="W11" s="14" t="s">
        <v>63</v>
      </c>
      <c r="X11" s="14" t="s">
        <v>34</v>
      </c>
      <c r="Y11" s="14" t="s">
        <v>90</v>
      </c>
    </row>
    <row r="12" spans="1:25" ht="22.8" x14ac:dyDescent="0.3">
      <c r="A12" s="9" t="s">
        <v>91</v>
      </c>
      <c r="B12" s="9" t="s">
        <v>31</v>
      </c>
      <c r="C12" s="9"/>
      <c r="D12" s="11"/>
      <c r="E12" s="12" t="s">
        <v>32</v>
      </c>
      <c r="F12" s="22"/>
      <c r="G12" s="22" t="s">
        <v>92</v>
      </c>
      <c r="H12" s="22" t="s">
        <v>34</v>
      </c>
      <c r="I12" s="22"/>
      <c r="J12" s="21" t="s">
        <v>35</v>
      </c>
      <c r="K12" s="22" t="s">
        <v>36</v>
      </c>
      <c r="L12" s="22" t="s">
        <v>93</v>
      </c>
      <c r="M12" s="21" t="s">
        <v>52</v>
      </c>
      <c r="N12" s="22" t="s">
        <v>94</v>
      </c>
      <c r="O12" s="21" t="s">
        <v>54</v>
      </c>
      <c r="P12" s="22" t="s">
        <v>60</v>
      </c>
      <c r="Q12" s="22" t="s">
        <v>34</v>
      </c>
      <c r="R12" s="22" t="s">
        <v>33</v>
      </c>
      <c r="S12" s="22" t="s">
        <v>34</v>
      </c>
      <c r="T12" s="22" t="s">
        <v>34</v>
      </c>
      <c r="U12" s="22" t="s">
        <v>34</v>
      </c>
      <c r="V12" s="22" t="s">
        <v>95</v>
      </c>
      <c r="W12" s="22" t="s">
        <v>44</v>
      </c>
      <c r="X12" s="22" t="s">
        <v>34</v>
      </c>
      <c r="Y12" s="22" t="s">
        <v>96</v>
      </c>
    </row>
    <row r="13" spans="1:25" ht="14.4" x14ac:dyDescent="0.3">
      <c r="A13" s="9" t="s">
        <v>97</v>
      </c>
      <c r="B13" s="9" t="s">
        <v>31</v>
      </c>
      <c r="C13" s="9"/>
      <c r="D13" s="11"/>
      <c r="E13" s="12" t="s">
        <v>32</v>
      </c>
      <c r="F13" s="14"/>
      <c r="G13" s="14" t="s">
        <v>33</v>
      </c>
      <c r="H13" s="14" t="s">
        <v>42</v>
      </c>
      <c r="I13" s="14" t="s">
        <v>33</v>
      </c>
      <c r="J13" s="13" t="s">
        <v>35</v>
      </c>
      <c r="K13" s="14" t="s">
        <v>36</v>
      </c>
      <c r="L13" s="14" t="s">
        <v>98</v>
      </c>
      <c r="M13" s="13" t="s">
        <v>52</v>
      </c>
      <c r="N13" s="14" t="s">
        <v>33</v>
      </c>
      <c r="O13" s="13" t="s">
        <v>54</v>
      </c>
      <c r="P13" s="14" t="s">
        <v>55</v>
      </c>
      <c r="Q13" s="14" t="s">
        <v>34</v>
      </c>
      <c r="R13" s="14" t="s">
        <v>99</v>
      </c>
      <c r="S13" s="14" t="s">
        <v>34</v>
      </c>
      <c r="T13" s="14" t="s">
        <v>34</v>
      </c>
      <c r="U13" s="14" t="s">
        <v>34</v>
      </c>
      <c r="V13" s="14" t="s">
        <v>43</v>
      </c>
      <c r="W13" s="14" t="s">
        <v>44</v>
      </c>
      <c r="X13" s="14" t="s">
        <v>34</v>
      </c>
      <c r="Y13" s="14" t="s">
        <v>100</v>
      </c>
    </row>
    <row r="14" spans="1:25" ht="22.8" x14ac:dyDescent="0.3">
      <c r="A14" s="9" t="s">
        <v>109</v>
      </c>
      <c r="B14" s="9" t="s">
        <v>31</v>
      </c>
      <c r="C14" s="9"/>
      <c r="D14" s="11"/>
      <c r="E14" s="12" t="s">
        <v>32</v>
      </c>
      <c r="F14" s="22"/>
      <c r="G14" s="22" t="s">
        <v>33</v>
      </c>
      <c r="H14" s="22" t="s">
        <v>42</v>
      </c>
      <c r="I14" s="22" t="s">
        <v>66</v>
      </c>
      <c r="J14" s="21" t="s">
        <v>35</v>
      </c>
      <c r="K14" s="22" t="s">
        <v>36</v>
      </c>
      <c r="L14" s="22" t="s">
        <v>75</v>
      </c>
      <c r="M14" s="21" t="s">
        <v>52</v>
      </c>
      <c r="N14" s="22" t="s">
        <v>110</v>
      </c>
      <c r="O14" s="21" t="s">
        <v>40</v>
      </c>
      <c r="P14" s="22" t="s">
        <v>55</v>
      </c>
      <c r="Q14" s="22" t="s">
        <v>34</v>
      </c>
      <c r="R14" s="22" t="s">
        <v>33</v>
      </c>
      <c r="S14" s="22" t="s">
        <v>34</v>
      </c>
      <c r="T14" s="22" t="s">
        <v>34</v>
      </c>
      <c r="U14" s="22" t="s">
        <v>34</v>
      </c>
      <c r="V14" s="22" t="s">
        <v>62</v>
      </c>
      <c r="W14" s="22" t="s">
        <v>63</v>
      </c>
      <c r="X14" s="22" t="s">
        <v>34</v>
      </c>
      <c r="Y14" s="22" t="s">
        <v>86</v>
      </c>
    </row>
    <row r="15" spans="1:25" ht="14.4" x14ac:dyDescent="0.3">
      <c r="A15" s="9" t="s">
        <v>111</v>
      </c>
      <c r="B15" s="9" t="s">
        <v>31</v>
      </c>
      <c r="C15" s="9"/>
      <c r="D15" s="11"/>
      <c r="E15" s="12" t="s">
        <v>32</v>
      </c>
      <c r="F15" s="14"/>
      <c r="G15" s="14" t="s">
        <v>33</v>
      </c>
      <c r="H15" s="14" t="s">
        <v>34</v>
      </c>
      <c r="I15" s="14"/>
      <c r="J15" s="13" t="s">
        <v>35</v>
      </c>
      <c r="K15" s="14" t="s">
        <v>36</v>
      </c>
      <c r="L15" s="14" t="s">
        <v>112</v>
      </c>
      <c r="M15" s="13" t="s">
        <v>113</v>
      </c>
      <c r="N15" s="14" t="s">
        <v>33</v>
      </c>
      <c r="O15" s="13" t="s">
        <v>54</v>
      </c>
      <c r="P15" s="14" t="s">
        <v>60</v>
      </c>
      <c r="Q15" s="14" t="s">
        <v>34</v>
      </c>
      <c r="R15" s="14" t="s">
        <v>33</v>
      </c>
      <c r="S15" s="14" t="s">
        <v>34</v>
      </c>
      <c r="T15" s="14" t="s">
        <v>34</v>
      </c>
      <c r="U15" s="14" t="s">
        <v>34</v>
      </c>
      <c r="V15" s="14" t="s">
        <v>62</v>
      </c>
      <c r="W15" s="14" t="s">
        <v>63</v>
      </c>
      <c r="X15" s="14" t="s">
        <v>34</v>
      </c>
      <c r="Y15" s="14" t="s">
        <v>114</v>
      </c>
    </row>
    <row r="16" spans="1:25" ht="14.4" x14ac:dyDescent="0.3">
      <c r="A16" s="9" t="s">
        <v>115</v>
      </c>
      <c r="B16" s="9" t="s">
        <v>31</v>
      </c>
      <c r="C16" s="9"/>
      <c r="D16" s="11"/>
      <c r="E16" s="12" t="s">
        <v>32</v>
      </c>
      <c r="F16" s="22"/>
      <c r="G16" s="22" t="s">
        <v>33</v>
      </c>
      <c r="H16" s="22" t="s">
        <v>34</v>
      </c>
      <c r="I16" s="22"/>
      <c r="J16" s="21" t="s">
        <v>35</v>
      </c>
      <c r="K16" s="22" t="s">
        <v>36</v>
      </c>
      <c r="L16" s="22" t="s">
        <v>75</v>
      </c>
      <c r="M16" s="21" t="s">
        <v>52</v>
      </c>
      <c r="N16" s="22" t="s">
        <v>33</v>
      </c>
      <c r="O16" s="21" t="s">
        <v>54</v>
      </c>
      <c r="P16" s="22" t="s">
        <v>107</v>
      </c>
      <c r="Q16" s="22" t="s">
        <v>34</v>
      </c>
      <c r="R16" s="22" t="s">
        <v>33</v>
      </c>
      <c r="S16" s="22" t="s">
        <v>34</v>
      </c>
      <c r="T16" s="22" t="s">
        <v>34</v>
      </c>
      <c r="U16" s="22" t="s">
        <v>34</v>
      </c>
      <c r="V16" s="22" t="s">
        <v>43</v>
      </c>
      <c r="W16" s="22" t="s">
        <v>63</v>
      </c>
      <c r="X16" s="22" t="s">
        <v>34</v>
      </c>
      <c r="Y16" s="22" t="s">
        <v>116</v>
      </c>
    </row>
    <row r="17" spans="1:25" ht="14.4" x14ac:dyDescent="0.3">
      <c r="A17" s="9" t="s">
        <v>117</v>
      </c>
      <c r="B17" s="9" t="s">
        <v>31</v>
      </c>
      <c r="C17" s="9"/>
      <c r="D17" s="11"/>
      <c r="E17" s="12" t="s">
        <v>32</v>
      </c>
      <c r="F17" s="14"/>
      <c r="G17" s="14" t="s">
        <v>33</v>
      </c>
      <c r="H17" s="14" t="s">
        <v>34</v>
      </c>
      <c r="I17" s="14"/>
      <c r="J17" s="13" t="s">
        <v>35</v>
      </c>
      <c r="K17" s="14" t="s">
        <v>36</v>
      </c>
      <c r="L17" s="14" t="s">
        <v>118</v>
      </c>
      <c r="M17" s="13" t="s">
        <v>52</v>
      </c>
      <c r="N17" s="14" t="s">
        <v>119</v>
      </c>
      <c r="O17" s="13" t="s">
        <v>60</v>
      </c>
      <c r="P17" s="14" t="s">
        <v>60</v>
      </c>
      <c r="Q17" s="14" t="s">
        <v>34</v>
      </c>
      <c r="R17" s="14" t="s">
        <v>33</v>
      </c>
      <c r="S17" s="14" t="s">
        <v>34</v>
      </c>
      <c r="T17" s="14" t="s">
        <v>34</v>
      </c>
      <c r="U17" s="14" t="s">
        <v>42</v>
      </c>
      <c r="V17" s="14" t="s">
        <v>43</v>
      </c>
      <c r="W17" s="14" t="s">
        <v>63</v>
      </c>
      <c r="X17" s="14" t="s">
        <v>34</v>
      </c>
      <c r="Y17" s="14" t="s">
        <v>120</v>
      </c>
    </row>
    <row r="18" spans="1:25" ht="14.4" x14ac:dyDescent="0.3">
      <c r="A18" s="9" t="s">
        <v>130</v>
      </c>
      <c r="B18" s="9" t="s">
        <v>31</v>
      </c>
      <c r="C18" s="9"/>
      <c r="D18" s="11"/>
      <c r="E18" s="12" t="s">
        <v>32</v>
      </c>
      <c r="F18" s="22"/>
      <c r="G18" s="22" t="s">
        <v>49</v>
      </c>
      <c r="H18" s="22" t="s">
        <v>34</v>
      </c>
      <c r="I18" s="22"/>
      <c r="J18" s="21" t="s">
        <v>35</v>
      </c>
      <c r="K18" s="22" t="s">
        <v>42</v>
      </c>
      <c r="L18" s="22" t="s">
        <v>131</v>
      </c>
      <c r="M18" s="21" t="s">
        <v>52</v>
      </c>
      <c r="N18" s="22" t="s">
        <v>33</v>
      </c>
      <c r="O18" s="21" t="s">
        <v>60</v>
      </c>
      <c r="P18" s="22" t="s">
        <v>41</v>
      </c>
      <c r="Q18" s="22" t="s">
        <v>34</v>
      </c>
      <c r="R18" s="22" t="s">
        <v>132</v>
      </c>
      <c r="S18" s="22" t="s">
        <v>34</v>
      </c>
      <c r="T18" s="22" t="s">
        <v>34</v>
      </c>
      <c r="U18" s="22" t="s">
        <v>42</v>
      </c>
      <c r="V18" s="22" t="s">
        <v>62</v>
      </c>
      <c r="W18" s="22" t="s">
        <v>63</v>
      </c>
      <c r="X18" s="22" t="s">
        <v>34</v>
      </c>
      <c r="Y18" s="22" t="s">
        <v>133</v>
      </c>
    </row>
    <row r="19" spans="1:25" ht="14.4" x14ac:dyDescent="0.3">
      <c r="A19" s="9" t="s">
        <v>134</v>
      </c>
      <c r="B19" s="9" t="s">
        <v>31</v>
      </c>
      <c r="C19" s="9"/>
      <c r="D19" s="11"/>
      <c r="E19" s="9" t="s">
        <v>70</v>
      </c>
      <c r="F19" s="14"/>
      <c r="G19" s="14" t="s">
        <v>33</v>
      </c>
      <c r="H19" s="14" t="s">
        <v>34</v>
      </c>
      <c r="I19" s="14"/>
      <c r="J19" s="13" t="s">
        <v>83</v>
      </c>
      <c r="K19" s="14" t="s">
        <v>42</v>
      </c>
      <c r="L19" s="14" t="s">
        <v>135</v>
      </c>
      <c r="M19" s="13" t="s">
        <v>52</v>
      </c>
      <c r="N19" s="14" t="s">
        <v>136</v>
      </c>
      <c r="O19" s="13" t="s">
        <v>54</v>
      </c>
      <c r="P19" s="14" t="s">
        <v>107</v>
      </c>
      <c r="Q19" s="14" t="s">
        <v>56</v>
      </c>
      <c r="R19" s="14" t="s">
        <v>33</v>
      </c>
      <c r="S19" s="14" t="s">
        <v>34</v>
      </c>
      <c r="T19" s="14" t="s">
        <v>34</v>
      </c>
      <c r="U19" s="14" t="s">
        <v>34</v>
      </c>
      <c r="V19" s="14" t="s">
        <v>62</v>
      </c>
      <c r="W19" s="14" t="s">
        <v>63</v>
      </c>
      <c r="X19" s="14" t="s">
        <v>34</v>
      </c>
      <c r="Y19" s="14" t="s">
        <v>90</v>
      </c>
    </row>
    <row r="20" spans="1:25" ht="14.4" x14ac:dyDescent="0.3">
      <c r="A20" s="9" t="s">
        <v>137</v>
      </c>
      <c r="B20" s="9" t="s">
        <v>31</v>
      </c>
      <c r="C20" s="9"/>
      <c r="D20" s="11"/>
      <c r="E20" s="9" t="s">
        <v>70</v>
      </c>
      <c r="F20" s="22"/>
      <c r="G20" s="22" t="s">
        <v>33</v>
      </c>
      <c r="H20" s="22" t="s">
        <v>34</v>
      </c>
      <c r="I20" s="22"/>
      <c r="J20" s="21" t="s">
        <v>35</v>
      </c>
      <c r="K20" s="22" t="s">
        <v>36</v>
      </c>
      <c r="L20" s="22" t="s">
        <v>138</v>
      </c>
      <c r="M20" s="21" t="s">
        <v>52</v>
      </c>
      <c r="N20" s="22" t="s">
        <v>33</v>
      </c>
      <c r="O20" s="21" t="s">
        <v>54</v>
      </c>
      <c r="P20" s="22" t="s">
        <v>60</v>
      </c>
      <c r="Q20" s="22" t="s">
        <v>34</v>
      </c>
      <c r="R20" s="22" t="s">
        <v>33</v>
      </c>
      <c r="S20" s="22" t="s">
        <v>34</v>
      </c>
      <c r="T20" s="22" t="s">
        <v>34</v>
      </c>
      <c r="U20" s="22" t="s">
        <v>34</v>
      </c>
      <c r="V20" s="22" t="s">
        <v>62</v>
      </c>
      <c r="W20" s="22" t="s">
        <v>63</v>
      </c>
      <c r="X20" s="22" t="s">
        <v>34</v>
      </c>
      <c r="Y20" s="22" t="s">
        <v>139</v>
      </c>
    </row>
    <row r="21" spans="1:25" ht="15.75" customHeight="1" x14ac:dyDescent="0.3">
      <c r="A21" s="9" t="s">
        <v>148</v>
      </c>
      <c r="B21" s="9" t="s">
        <v>31</v>
      </c>
      <c r="C21" s="9"/>
      <c r="D21" s="11"/>
      <c r="E21" s="12" t="s">
        <v>32</v>
      </c>
      <c r="F21" s="14"/>
      <c r="G21" s="14" t="s">
        <v>33</v>
      </c>
      <c r="H21" s="14" t="s">
        <v>34</v>
      </c>
      <c r="I21" s="14"/>
      <c r="J21" s="13" t="s">
        <v>35</v>
      </c>
      <c r="K21" s="14" t="s">
        <v>36</v>
      </c>
      <c r="L21" s="14" t="s">
        <v>67</v>
      </c>
      <c r="M21" s="13" t="s">
        <v>52</v>
      </c>
      <c r="N21" s="14" t="s">
        <v>149</v>
      </c>
      <c r="O21" s="13" t="s">
        <v>60</v>
      </c>
      <c r="P21" s="14" t="s">
        <v>55</v>
      </c>
      <c r="Q21" s="14" t="s">
        <v>34</v>
      </c>
      <c r="R21" s="14" t="s">
        <v>33</v>
      </c>
      <c r="S21" s="14" t="s">
        <v>34</v>
      </c>
      <c r="T21" s="14" t="s">
        <v>34</v>
      </c>
      <c r="U21" s="14" t="s">
        <v>34</v>
      </c>
      <c r="V21" s="14" t="s">
        <v>62</v>
      </c>
      <c r="W21" s="14" t="s">
        <v>63</v>
      </c>
      <c r="X21" s="14" t="s">
        <v>34</v>
      </c>
      <c r="Y21" s="14" t="s">
        <v>68</v>
      </c>
    </row>
    <row r="22" spans="1:25" ht="15.75" customHeight="1" x14ac:dyDescent="0.3">
      <c r="A22" s="9" t="s">
        <v>150</v>
      </c>
      <c r="B22" s="9" t="s">
        <v>31</v>
      </c>
      <c r="C22" s="9"/>
      <c r="D22" s="11"/>
      <c r="E22" s="12" t="s">
        <v>32</v>
      </c>
      <c r="F22" s="22"/>
      <c r="G22" s="22" t="s">
        <v>33</v>
      </c>
      <c r="H22" s="22" t="s">
        <v>42</v>
      </c>
      <c r="I22" s="22" t="s">
        <v>151</v>
      </c>
      <c r="J22" s="21" t="s">
        <v>35</v>
      </c>
      <c r="K22" s="22" t="s">
        <v>36</v>
      </c>
      <c r="L22" s="22" t="s">
        <v>71</v>
      </c>
      <c r="M22" s="21" t="s">
        <v>52</v>
      </c>
      <c r="N22" s="22" t="s">
        <v>152</v>
      </c>
      <c r="O22" s="21" t="s">
        <v>54</v>
      </c>
      <c r="P22" s="22" t="s">
        <v>55</v>
      </c>
      <c r="Q22" s="22" t="s">
        <v>56</v>
      </c>
      <c r="R22" s="22" t="s">
        <v>33</v>
      </c>
      <c r="S22" s="22" t="s">
        <v>34</v>
      </c>
      <c r="T22" s="22" t="s">
        <v>34</v>
      </c>
      <c r="U22" s="22" t="s">
        <v>34</v>
      </c>
      <c r="V22" s="22" t="s">
        <v>43</v>
      </c>
      <c r="W22" s="22" t="s">
        <v>44</v>
      </c>
      <c r="X22" s="22" t="s">
        <v>34</v>
      </c>
      <c r="Y22" s="22" t="s">
        <v>45</v>
      </c>
    </row>
    <row r="23" spans="1:25" ht="15.75" customHeight="1" x14ac:dyDescent="0.3">
      <c r="A23" s="9" t="s">
        <v>154</v>
      </c>
      <c r="B23" s="9" t="s">
        <v>31</v>
      </c>
      <c r="C23" s="9"/>
      <c r="D23" s="11"/>
      <c r="E23" s="12" t="s">
        <v>32</v>
      </c>
      <c r="F23" s="14"/>
      <c r="G23" s="14" t="s">
        <v>33</v>
      </c>
      <c r="H23" s="14" t="s">
        <v>42</v>
      </c>
      <c r="I23" s="14" t="s">
        <v>78</v>
      </c>
      <c r="J23" s="13" t="s">
        <v>35</v>
      </c>
      <c r="K23" s="14" t="s">
        <v>42</v>
      </c>
      <c r="L23" s="14" t="s">
        <v>118</v>
      </c>
      <c r="M23" s="13" t="s">
        <v>52</v>
      </c>
      <c r="N23" s="14" t="s">
        <v>155</v>
      </c>
      <c r="O23" s="13" t="s">
        <v>60</v>
      </c>
      <c r="P23" s="14" t="s">
        <v>55</v>
      </c>
      <c r="Q23" s="14" t="s">
        <v>34</v>
      </c>
      <c r="R23" s="14" t="s">
        <v>33</v>
      </c>
      <c r="S23" s="14" t="s">
        <v>34</v>
      </c>
      <c r="T23" s="14" t="s">
        <v>34</v>
      </c>
      <c r="U23" s="14" t="s">
        <v>34</v>
      </c>
      <c r="V23" s="14" t="s">
        <v>43</v>
      </c>
      <c r="W23" s="14" t="s">
        <v>44</v>
      </c>
      <c r="X23" s="14" t="s">
        <v>34</v>
      </c>
      <c r="Y23" s="14" t="s">
        <v>45</v>
      </c>
    </row>
    <row r="24" spans="1:25" ht="15.75" customHeight="1" x14ac:dyDescent="0.3">
      <c r="A24" s="9" t="s">
        <v>160</v>
      </c>
      <c r="B24" s="9" t="s">
        <v>31</v>
      </c>
      <c r="C24" s="9"/>
      <c r="D24" s="11"/>
      <c r="E24" s="16" t="s">
        <v>161</v>
      </c>
      <c r="F24" s="22"/>
      <c r="G24" s="22" t="s">
        <v>33</v>
      </c>
      <c r="H24" s="22" t="s">
        <v>42</v>
      </c>
      <c r="I24" s="22" t="s">
        <v>33</v>
      </c>
      <c r="J24" s="21" t="s">
        <v>35</v>
      </c>
      <c r="K24" s="22" t="s">
        <v>42</v>
      </c>
      <c r="L24" s="22" t="s">
        <v>162</v>
      </c>
      <c r="M24" s="21" t="s">
        <v>52</v>
      </c>
      <c r="N24" s="22" t="s">
        <v>163</v>
      </c>
      <c r="O24" s="21" t="s">
        <v>54</v>
      </c>
      <c r="P24" s="22" t="s">
        <v>164</v>
      </c>
      <c r="Q24" s="22" t="s">
        <v>56</v>
      </c>
      <c r="R24" s="22" t="s">
        <v>33</v>
      </c>
      <c r="S24" s="22" t="s">
        <v>34</v>
      </c>
      <c r="T24" s="22" t="s">
        <v>34</v>
      </c>
      <c r="U24" s="22" t="s">
        <v>42</v>
      </c>
      <c r="V24" s="22" t="s">
        <v>43</v>
      </c>
      <c r="W24" s="22" t="s">
        <v>44</v>
      </c>
      <c r="X24" s="22" t="s">
        <v>34</v>
      </c>
      <c r="Y24" s="22" t="s">
        <v>165</v>
      </c>
    </row>
    <row r="25" spans="1:25" ht="15.75" customHeight="1" x14ac:dyDescent="0.3">
      <c r="A25" s="9" t="s">
        <v>171</v>
      </c>
      <c r="B25" s="9" t="s">
        <v>31</v>
      </c>
      <c r="C25" s="9"/>
      <c r="D25" s="11"/>
      <c r="E25" s="12" t="s">
        <v>32</v>
      </c>
      <c r="F25" s="14"/>
      <c r="G25" s="14" t="s">
        <v>172</v>
      </c>
      <c r="H25" s="14" t="s">
        <v>34</v>
      </c>
      <c r="I25" s="14"/>
      <c r="J25" s="13" t="s">
        <v>83</v>
      </c>
      <c r="K25" s="14" t="s">
        <v>36</v>
      </c>
      <c r="L25" s="14" t="s">
        <v>33</v>
      </c>
      <c r="M25" s="13" t="s">
        <v>52</v>
      </c>
      <c r="N25" s="14" t="s">
        <v>33</v>
      </c>
      <c r="O25" s="13" t="s">
        <v>60</v>
      </c>
      <c r="P25" s="14" t="s">
        <v>41</v>
      </c>
      <c r="Q25" s="14" t="s">
        <v>56</v>
      </c>
      <c r="R25" s="14" t="s">
        <v>33</v>
      </c>
      <c r="S25" s="14" t="s">
        <v>34</v>
      </c>
      <c r="T25" s="14" t="s">
        <v>34</v>
      </c>
      <c r="U25" s="14" t="s">
        <v>42</v>
      </c>
      <c r="V25" s="14" t="s">
        <v>62</v>
      </c>
      <c r="W25" s="14" t="s">
        <v>63</v>
      </c>
      <c r="X25" s="14" t="s">
        <v>34</v>
      </c>
      <c r="Y25" s="14" t="s">
        <v>173</v>
      </c>
    </row>
    <row r="26" spans="1:25" ht="15.75" customHeight="1" x14ac:dyDescent="0.3">
      <c r="A26" s="9" t="s">
        <v>174</v>
      </c>
      <c r="B26" s="9" t="s">
        <v>31</v>
      </c>
      <c r="C26" s="9"/>
      <c r="D26" s="11"/>
      <c r="E26" s="9" t="s">
        <v>70</v>
      </c>
      <c r="F26" s="22"/>
      <c r="G26" s="22" t="s">
        <v>33</v>
      </c>
      <c r="H26" s="22" t="s">
        <v>34</v>
      </c>
      <c r="I26" s="22"/>
      <c r="J26" s="21" t="s">
        <v>35</v>
      </c>
      <c r="K26" s="22" t="s">
        <v>42</v>
      </c>
      <c r="L26" s="22" t="s">
        <v>175</v>
      </c>
      <c r="M26" s="21" t="s">
        <v>52</v>
      </c>
      <c r="N26" s="22" t="s">
        <v>176</v>
      </c>
      <c r="O26" s="21" t="s">
        <v>54</v>
      </c>
      <c r="P26" s="22" t="s">
        <v>60</v>
      </c>
      <c r="Q26" s="22" t="s">
        <v>34</v>
      </c>
      <c r="R26" s="22" t="s">
        <v>33</v>
      </c>
      <c r="S26" s="22" t="s">
        <v>34</v>
      </c>
      <c r="T26" s="22" t="s">
        <v>34</v>
      </c>
      <c r="U26" s="22" t="s">
        <v>42</v>
      </c>
      <c r="V26" s="22" t="s">
        <v>62</v>
      </c>
      <c r="W26" s="22" t="s">
        <v>63</v>
      </c>
      <c r="X26" s="22" t="s">
        <v>34</v>
      </c>
      <c r="Y26" s="22" t="s">
        <v>68</v>
      </c>
    </row>
    <row r="27" spans="1:25" ht="15.75" customHeight="1" x14ac:dyDescent="0.3">
      <c r="A27" s="9" t="s">
        <v>177</v>
      </c>
      <c r="B27" s="9" t="s">
        <v>31</v>
      </c>
      <c r="C27" s="9"/>
      <c r="D27" s="11"/>
      <c r="E27" s="12" t="s">
        <v>32</v>
      </c>
      <c r="F27" s="14"/>
      <c r="G27" s="14" t="s">
        <v>33</v>
      </c>
      <c r="H27" s="14" t="s">
        <v>34</v>
      </c>
      <c r="I27" s="14"/>
      <c r="J27" s="13" t="s">
        <v>35</v>
      </c>
      <c r="K27" s="14" t="s">
        <v>42</v>
      </c>
      <c r="L27" s="14" t="s">
        <v>178</v>
      </c>
      <c r="M27" s="13" t="s">
        <v>52</v>
      </c>
      <c r="N27" s="14" t="s">
        <v>136</v>
      </c>
      <c r="O27" s="13" t="s">
        <v>40</v>
      </c>
      <c r="P27" s="14" t="s">
        <v>107</v>
      </c>
      <c r="Q27" s="14" t="s">
        <v>34</v>
      </c>
      <c r="R27" s="14" t="s">
        <v>33</v>
      </c>
      <c r="S27" s="14" t="s">
        <v>34</v>
      </c>
      <c r="T27" s="14" t="s">
        <v>34</v>
      </c>
      <c r="U27" s="14" t="s">
        <v>34</v>
      </c>
      <c r="V27" s="14" t="s">
        <v>62</v>
      </c>
      <c r="W27" s="14" t="s">
        <v>63</v>
      </c>
      <c r="X27" s="14" t="s">
        <v>34</v>
      </c>
      <c r="Y27" s="14" t="s">
        <v>86</v>
      </c>
    </row>
    <row r="28" spans="1:25" ht="15.75" customHeight="1" x14ac:dyDescent="0.3">
      <c r="A28" s="9" t="s">
        <v>179</v>
      </c>
      <c r="B28" s="9" t="s">
        <v>31</v>
      </c>
      <c r="C28" s="9"/>
      <c r="D28" s="11"/>
      <c r="E28" s="9" t="s">
        <v>70</v>
      </c>
      <c r="F28" s="22"/>
      <c r="G28" s="22" t="s">
        <v>33</v>
      </c>
      <c r="H28" s="22" t="s">
        <v>34</v>
      </c>
      <c r="I28" s="22"/>
      <c r="J28" s="21" t="s">
        <v>35</v>
      </c>
      <c r="K28" s="22" t="s">
        <v>42</v>
      </c>
      <c r="L28" s="22" t="s">
        <v>180</v>
      </c>
      <c r="M28" s="21" t="s">
        <v>52</v>
      </c>
      <c r="N28" s="22" t="s">
        <v>59</v>
      </c>
      <c r="O28" s="21" t="s">
        <v>40</v>
      </c>
      <c r="P28" s="22" t="s">
        <v>88</v>
      </c>
      <c r="Q28" s="22" t="s">
        <v>56</v>
      </c>
      <c r="R28" s="22" t="s">
        <v>181</v>
      </c>
      <c r="S28" s="22" t="s">
        <v>34</v>
      </c>
      <c r="T28" s="22" t="s">
        <v>34</v>
      </c>
      <c r="U28" s="22" t="s">
        <v>42</v>
      </c>
      <c r="V28" s="22" t="s">
        <v>43</v>
      </c>
      <c r="W28" s="22" t="s">
        <v>44</v>
      </c>
      <c r="X28" s="22" t="s">
        <v>34</v>
      </c>
      <c r="Y28" s="22" t="s">
        <v>45</v>
      </c>
    </row>
    <row r="29" spans="1:25" ht="15.75" customHeight="1" x14ac:dyDescent="0.3">
      <c r="A29" s="9" t="s">
        <v>182</v>
      </c>
      <c r="B29" s="9" t="s">
        <v>31</v>
      </c>
      <c r="C29" s="9"/>
      <c r="D29" s="11"/>
      <c r="E29" s="12" t="s">
        <v>32</v>
      </c>
      <c r="F29" s="14"/>
      <c r="G29" s="14" t="s">
        <v>33</v>
      </c>
      <c r="H29" s="14" t="s">
        <v>42</v>
      </c>
      <c r="I29" s="14" t="s">
        <v>183</v>
      </c>
      <c r="J29" s="13" t="s">
        <v>35</v>
      </c>
      <c r="K29" s="14" t="s">
        <v>36</v>
      </c>
      <c r="L29" s="14" t="s">
        <v>184</v>
      </c>
      <c r="M29" s="13" t="s">
        <v>52</v>
      </c>
      <c r="N29" s="14" t="s">
        <v>76</v>
      </c>
      <c r="O29" s="13" t="s">
        <v>60</v>
      </c>
      <c r="P29" s="14" t="s">
        <v>107</v>
      </c>
      <c r="Q29" s="14" t="s">
        <v>34</v>
      </c>
      <c r="R29" s="14" t="s">
        <v>33</v>
      </c>
      <c r="S29" s="14" t="s">
        <v>34</v>
      </c>
      <c r="T29" s="14" t="s">
        <v>34</v>
      </c>
      <c r="U29" s="14" t="s">
        <v>42</v>
      </c>
      <c r="V29" s="14" t="s">
        <v>43</v>
      </c>
      <c r="W29" s="14" t="s">
        <v>44</v>
      </c>
      <c r="X29" s="14" t="s">
        <v>34</v>
      </c>
      <c r="Y29" s="14" t="s">
        <v>165</v>
      </c>
    </row>
    <row r="30" spans="1:25" ht="15.75" customHeight="1" x14ac:dyDescent="0.3">
      <c r="A30" s="9" t="s">
        <v>185</v>
      </c>
      <c r="B30" s="9" t="s">
        <v>31</v>
      </c>
      <c r="C30" s="9"/>
      <c r="D30" s="11"/>
      <c r="E30" s="12" t="s">
        <v>32</v>
      </c>
      <c r="F30" s="22"/>
      <c r="G30" s="22" t="s">
        <v>33</v>
      </c>
      <c r="H30" s="22" t="s">
        <v>42</v>
      </c>
      <c r="I30" s="22" t="s">
        <v>78</v>
      </c>
      <c r="J30" s="21" t="s">
        <v>35</v>
      </c>
      <c r="K30" s="22" t="s">
        <v>36</v>
      </c>
      <c r="L30" s="22" t="s">
        <v>186</v>
      </c>
      <c r="M30" s="21" t="s">
        <v>52</v>
      </c>
      <c r="N30" s="22" t="s">
        <v>33</v>
      </c>
      <c r="O30" s="21" t="s">
        <v>40</v>
      </c>
      <c r="P30" s="22" t="s">
        <v>60</v>
      </c>
      <c r="Q30" s="22" t="s">
        <v>34</v>
      </c>
      <c r="R30" s="22" t="s">
        <v>33</v>
      </c>
      <c r="S30" s="22" t="s">
        <v>34</v>
      </c>
      <c r="T30" s="22" t="s">
        <v>34</v>
      </c>
      <c r="U30" s="22" t="s">
        <v>42</v>
      </c>
      <c r="V30" s="22" t="s">
        <v>43</v>
      </c>
      <c r="W30" s="22" t="s">
        <v>44</v>
      </c>
      <c r="X30" s="22" t="s">
        <v>34</v>
      </c>
      <c r="Y30" s="22" t="s">
        <v>45</v>
      </c>
    </row>
    <row r="31" spans="1:25" ht="15.75" customHeight="1" x14ac:dyDescent="0.3">
      <c r="A31" s="9" t="s">
        <v>187</v>
      </c>
      <c r="B31" s="9" t="s">
        <v>31</v>
      </c>
      <c r="C31" s="9"/>
      <c r="D31" s="11"/>
      <c r="E31" s="9" t="s">
        <v>70</v>
      </c>
      <c r="F31" s="14"/>
      <c r="G31" s="14" t="s">
        <v>33</v>
      </c>
      <c r="H31" s="14" t="s">
        <v>34</v>
      </c>
      <c r="I31" s="14"/>
      <c r="J31" s="13" t="s">
        <v>35</v>
      </c>
      <c r="K31" s="14" t="s">
        <v>36</v>
      </c>
      <c r="L31" s="14" t="s">
        <v>188</v>
      </c>
      <c r="M31" s="13" t="s">
        <v>52</v>
      </c>
      <c r="N31" s="14" t="s">
        <v>59</v>
      </c>
      <c r="O31" s="13" t="s">
        <v>54</v>
      </c>
      <c r="P31" s="14" t="s">
        <v>60</v>
      </c>
      <c r="Q31" s="14" t="s">
        <v>34</v>
      </c>
      <c r="R31" s="14" t="s">
        <v>33</v>
      </c>
      <c r="S31" s="14" t="s">
        <v>34</v>
      </c>
      <c r="T31" s="14" t="s">
        <v>34</v>
      </c>
      <c r="U31" s="14" t="s">
        <v>42</v>
      </c>
      <c r="V31" s="14" t="s">
        <v>43</v>
      </c>
      <c r="W31" s="14" t="s">
        <v>44</v>
      </c>
      <c r="X31" s="14" t="s">
        <v>34</v>
      </c>
      <c r="Y31" s="14" t="s">
        <v>165</v>
      </c>
    </row>
    <row r="32" spans="1:25" ht="15.75" customHeight="1" x14ac:dyDescent="0.3">
      <c r="A32" s="9" t="s">
        <v>189</v>
      </c>
      <c r="B32" s="9" t="s">
        <v>31</v>
      </c>
      <c r="C32" s="9"/>
      <c r="D32" s="11"/>
      <c r="E32" s="12" t="s">
        <v>32</v>
      </c>
      <c r="F32" s="22"/>
      <c r="G32" s="22" t="s">
        <v>33</v>
      </c>
      <c r="H32" s="22" t="s">
        <v>42</v>
      </c>
      <c r="I32" s="22" t="s">
        <v>190</v>
      </c>
      <c r="J32" s="21" t="s">
        <v>35</v>
      </c>
      <c r="K32" s="22" t="s">
        <v>36</v>
      </c>
      <c r="L32" s="22" t="s">
        <v>191</v>
      </c>
      <c r="M32" s="21" t="s">
        <v>52</v>
      </c>
      <c r="N32" s="22" t="s">
        <v>192</v>
      </c>
      <c r="O32" s="21" t="s">
        <v>40</v>
      </c>
      <c r="P32" s="22" t="s">
        <v>60</v>
      </c>
      <c r="Q32" s="22" t="s">
        <v>34</v>
      </c>
      <c r="R32" s="22" t="s">
        <v>33</v>
      </c>
      <c r="S32" s="22" t="s">
        <v>34</v>
      </c>
      <c r="T32" s="22" t="s">
        <v>34</v>
      </c>
      <c r="U32" s="22" t="s">
        <v>34</v>
      </c>
      <c r="V32" s="22" t="s">
        <v>43</v>
      </c>
      <c r="W32" s="22" t="s">
        <v>44</v>
      </c>
      <c r="X32" s="22" t="s">
        <v>34</v>
      </c>
      <c r="Y32" s="22" t="s">
        <v>45</v>
      </c>
    </row>
    <row r="33" spans="1:25" ht="15.75" customHeight="1" x14ac:dyDescent="0.3">
      <c r="A33" s="9" t="s">
        <v>193</v>
      </c>
      <c r="B33" s="9" t="s">
        <v>31</v>
      </c>
      <c r="C33" s="9"/>
      <c r="D33" s="11"/>
      <c r="E33" s="12" t="s">
        <v>32</v>
      </c>
      <c r="F33" s="14"/>
      <c r="G33" s="14" t="s">
        <v>92</v>
      </c>
      <c r="H33" s="14" t="s">
        <v>34</v>
      </c>
      <c r="I33" s="14"/>
      <c r="J33" s="13" t="s">
        <v>35</v>
      </c>
      <c r="K33" s="14" t="s">
        <v>36</v>
      </c>
      <c r="L33" s="14" t="s">
        <v>194</v>
      </c>
      <c r="M33" s="13" t="s">
        <v>52</v>
      </c>
      <c r="N33" s="14" t="s">
        <v>136</v>
      </c>
      <c r="O33" s="13" t="s">
        <v>54</v>
      </c>
      <c r="P33" s="14" t="s">
        <v>55</v>
      </c>
      <c r="Q33" s="14" t="s">
        <v>56</v>
      </c>
      <c r="R33" s="14" t="s">
        <v>33</v>
      </c>
      <c r="S33" s="14" t="s">
        <v>34</v>
      </c>
      <c r="T33" s="14" t="s">
        <v>34</v>
      </c>
      <c r="U33" s="14" t="s">
        <v>34</v>
      </c>
      <c r="V33" s="14" t="s">
        <v>43</v>
      </c>
      <c r="W33" s="14" t="s">
        <v>63</v>
      </c>
      <c r="X33" s="14" t="s">
        <v>34</v>
      </c>
      <c r="Y33" s="14" t="s">
        <v>195</v>
      </c>
    </row>
    <row r="34" spans="1:25" ht="15.75" customHeight="1" x14ac:dyDescent="0.3">
      <c r="A34" s="9" t="s">
        <v>201</v>
      </c>
      <c r="B34" s="9" t="s">
        <v>31</v>
      </c>
      <c r="C34" s="9"/>
      <c r="D34" s="11"/>
      <c r="E34" s="9" t="s">
        <v>70</v>
      </c>
      <c r="F34" s="22"/>
      <c r="G34" s="22" t="s">
        <v>92</v>
      </c>
      <c r="H34" s="22" t="s">
        <v>34</v>
      </c>
      <c r="I34" s="22"/>
      <c r="J34" s="21" t="s">
        <v>35</v>
      </c>
      <c r="K34" s="22" t="s">
        <v>42</v>
      </c>
      <c r="L34" s="22" t="s">
        <v>67</v>
      </c>
      <c r="M34" s="21" t="s">
        <v>52</v>
      </c>
      <c r="N34" s="22" t="s">
        <v>33</v>
      </c>
      <c r="O34" s="21" t="s">
        <v>60</v>
      </c>
      <c r="P34" s="22" t="s">
        <v>107</v>
      </c>
      <c r="Q34" s="22" t="s">
        <v>34</v>
      </c>
      <c r="R34" s="22" t="s">
        <v>33</v>
      </c>
      <c r="S34" s="22" t="s">
        <v>34</v>
      </c>
      <c r="T34" s="22" t="s">
        <v>34</v>
      </c>
      <c r="U34" s="22" t="s">
        <v>34</v>
      </c>
      <c r="V34" s="22" t="s">
        <v>62</v>
      </c>
      <c r="W34" s="22" t="s">
        <v>63</v>
      </c>
      <c r="X34" s="22" t="s">
        <v>34</v>
      </c>
      <c r="Y34" s="22" t="s">
        <v>68</v>
      </c>
    </row>
    <row r="35" spans="1:25" ht="15.75" customHeight="1" x14ac:dyDescent="0.3">
      <c r="A35" s="9" t="s">
        <v>205</v>
      </c>
      <c r="B35" s="9" t="s">
        <v>31</v>
      </c>
      <c r="C35" s="9"/>
      <c r="D35" s="11"/>
      <c r="E35" s="12" t="s">
        <v>32</v>
      </c>
      <c r="F35" s="14"/>
      <c r="G35" s="14" t="s">
        <v>33</v>
      </c>
      <c r="H35" s="14" t="s">
        <v>42</v>
      </c>
      <c r="I35" s="14" t="s">
        <v>206</v>
      </c>
      <c r="J35" s="13" t="s">
        <v>35</v>
      </c>
      <c r="K35" s="14" t="s">
        <v>36</v>
      </c>
      <c r="L35" s="14" t="s">
        <v>75</v>
      </c>
      <c r="M35" s="13" t="s">
        <v>113</v>
      </c>
      <c r="N35" s="14" t="s">
        <v>207</v>
      </c>
      <c r="O35" s="13" t="s">
        <v>40</v>
      </c>
      <c r="P35" s="14" t="s">
        <v>55</v>
      </c>
      <c r="Q35" s="14" t="s">
        <v>56</v>
      </c>
      <c r="R35" s="14" t="s">
        <v>33</v>
      </c>
      <c r="S35" s="14" t="s">
        <v>34</v>
      </c>
      <c r="T35" s="14" t="s">
        <v>34</v>
      </c>
      <c r="U35" s="14" t="s">
        <v>34</v>
      </c>
      <c r="V35" s="14" t="s">
        <v>43</v>
      </c>
      <c r="W35" s="14" t="s">
        <v>63</v>
      </c>
      <c r="X35" s="14" t="s">
        <v>34</v>
      </c>
      <c r="Y35" s="14" t="s">
        <v>116</v>
      </c>
    </row>
    <row r="36" spans="1:25" ht="15.75" customHeight="1" x14ac:dyDescent="0.3">
      <c r="A36" s="9" t="s">
        <v>208</v>
      </c>
      <c r="B36" s="9" t="s">
        <v>31</v>
      </c>
      <c r="C36" s="9"/>
      <c r="D36" s="11"/>
      <c r="E36" s="16" t="s">
        <v>161</v>
      </c>
      <c r="F36" s="22"/>
      <c r="G36" s="22" t="s">
        <v>33</v>
      </c>
      <c r="H36" s="22" t="s">
        <v>34</v>
      </c>
      <c r="I36" s="22"/>
      <c r="J36" s="21" t="s">
        <v>35</v>
      </c>
      <c r="K36" s="22" t="s">
        <v>42</v>
      </c>
      <c r="L36" s="22" t="s">
        <v>178</v>
      </c>
      <c r="M36" s="21" t="s">
        <v>38</v>
      </c>
      <c r="N36" s="22" t="s">
        <v>33</v>
      </c>
      <c r="O36" s="21" t="s">
        <v>33</v>
      </c>
      <c r="P36" s="22" t="s">
        <v>60</v>
      </c>
      <c r="Q36" s="22" t="s">
        <v>34</v>
      </c>
      <c r="R36" s="22" t="s">
        <v>33</v>
      </c>
      <c r="S36" s="22" t="s">
        <v>34</v>
      </c>
      <c r="T36" s="22" t="s">
        <v>34</v>
      </c>
      <c r="U36" s="22" t="s">
        <v>42</v>
      </c>
      <c r="V36" s="22" t="s">
        <v>62</v>
      </c>
      <c r="W36" s="22" t="s">
        <v>63</v>
      </c>
      <c r="X36" s="22" t="s">
        <v>34</v>
      </c>
      <c r="Y36" s="22" t="s">
        <v>68</v>
      </c>
    </row>
    <row r="37" spans="1:25" ht="15.75" customHeight="1" x14ac:dyDescent="0.3">
      <c r="A37" s="9" t="s">
        <v>209</v>
      </c>
      <c r="B37" s="9" t="s">
        <v>31</v>
      </c>
      <c r="C37" s="9"/>
      <c r="D37" s="11"/>
      <c r="E37" s="12" t="s">
        <v>32</v>
      </c>
      <c r="F37" s="14"/>
      <c r="G37" s="14" t="s">
        <v>33</v>
      </c>
      <c r="H37" s="14" t="s">
        <v>34</v>
      </c>
      <c r="I37" s="14"/>
      <c r="J37" s="13" t="s">
        <v>35</v>
      </c>
      <c r="K37" s="14" t="s">
        <v>42</v>
      </c>
      <c r="L37" s="14" t="s">
        <v>210</v>
      </c>
      <c r="M37" s="13" t="s">
        <v>52</v>
      </c>
      <c r="N37" s="14" t="s">
        <v>155</v>
      </c>
      <c r="O37" s="13" t="s">
        <v>40</v>
      </c>
      <c r="P37" s="14" t="s">
        <v>107</v>
      </c>
      <c r="Q37" s="14" t="s">
        <v>56</v>
      </c>
      <c r="R37" s="14" t="s">
        <v>33</v>
      </c>
      <c r="S37" s="14" t="s">
        <v>34</v>
      </c>
      <c r="T37" s="14" t="s">
        <v>34</v>
      </c>
      <c r="U37" s="14" t="s">
        <v>42</v>
      </c>
      <c r="V37" s="14" t="s">
        <v>62</v>
      </c>
      <c r="W37" s="14" t="s">
        <v>63</v>
      </c>
      <c r="X37" s="14" t="s">
        <v>34</v>
      </c>
      <c r="Y37" s="14" t="s">
        <v>108</v>
      </c>
    </row>
    <row r="38" spans="1:25" ht="15.75" customHeight="1" x14ac:dyDescent="0.3">
      <c r="A38" s="9" t="s">
        <v>211</v>
      </c>
      <c r="B38" s="9" t="s">
        <v>31</v>
      </c>
      <c r="C38" s="9"/>
      <c r="D38" s="11"/>
      <c r="E38" s="12" t="s">
        <v>32</v>
      </c>
      <c r="F38" s="22"/>
      <c r="G38" s="22" t="s">
        <v>33</v>
      </c>
      <c r="H38" s="22" t="s">
        <v>34</v>
      </c>
      <c r="I38" s="22"/>
      <c r="J38" s="21" t="s">
        <v>35</v>
      </c>
      <c r="K38" s="22" t="s">
        <v>36</v>
      </c>
      <c r="L38" s="22" t="s">
        <v>212</v>
      </c>
      <c r="M38" s="21" t="s">
        <v>52</v>
      </c>
      <c r="N38" s="22" t="s">
        <v>155</v>
      </c>
      <c r="O38" s="21" t="s">
        <v>60</v>
      </c>
      <c r="P38" s="22" t="s">
        <v>60</v>
      </c>
      <c r="Q38" s="22" t="s">
        <v>56</v>
      </c>
      <c r="R38" s="22" t="s">
        <v>181</v>
      </c>
      <c r="S38" s="22" t="s">
        <v>34</v>
      </c>
      <c r="T38" s="22" t="s">
        <v>34</v>
      </c>
      <c r="U38" s="22" t="s">
        <v>42</v>
      </c>
      <c r="V38" s="22" t="s">
        <v>62</v>
      </c>
      <c r="W38" s="22" t="s">
        <v>63</v>
      </c>
      <c r="X38" s="22" t="s">
        <v>34</v>
      </c>
      <c r="Y38" s="22" t="s">
        <v>86</v>
      </c>
    </row>
    <row r="39" spans="1:25" ht="15.75" customHeight="1" x14ac:dyDescent="0.3">
      <c r="A39" s="9" t="s">
        <v>213</v>
      </c>
      <c r="B39" s="9" t="s">
        <v>31</v>
      </c>
      <c r="C39" s="9"/>
      <c r="D39" s="11"/>
      <c r="E39" s="9" t="s">
        <v>70</v>
      </c>
      <c r="F39" s="14"/>
      <c r="G39" s="14" t="s">
        <v>33</v>
      </c>
      <c r="H39" s="14" t="s">
        <v>34</v>
      </c>
      <c r="I39" s="14"/>
      <c r="J39" s="13" t="s">
        <v>35</v>
      </c>
      <c r="K39" s="14" t="s">
        <v>36</v>
      </c>
      <c r="L39" s="14" t="s">
        <v>214</v>
      </c>
      <c r="M39" s="13" t="s">
        <v>38</v>
      </c>
      <c r="N39" s="14" t="s">
        <v>33</v>
      </c>
      <c r="O39" s="13" t="s">
        <v>40</v>
      </c>
      <c r="P39" s="14" t="s">
        <v>41</v>
      </c>
      <c r="Q39" s="14" t="s">
        <v>34</v>
      </c>
      <c r="R39" s="14" t="s">
        <v>33</v>
      </c>
      <c r="S39" s="14" t="s">
        <v>34</v>
      </c>
      <c r="T39" s="14" t="s">
        <v>34</v>
      </c>
      <c r="U39" s="14" t="s">
        <v>42</v>
      </c>
      <c r="V39" s="14" t="s">
        <v>43</v>
      </c>
      <c r="W39" s="14" t="s">
        <v>44</v>
      </c>
      <c r="X39" s="14" t="s">
        <v>34</v>
      </c>
      <c r="Y39" s="14" t="s">
        <v>165</v>
      </c>
    </row>
    <row r="40" spans="1:25" ht="15.75" customHeight="1" x14ac:dyDescent="0.3">
      <c r="A40" s="9" t="s">
        <v>215</v>
      </c>
      <c r="B40" s="9" t="s">
        <v>31</v>
      </c>
      <c r="C40" s="9"/>
      <c r="D40" s="11"/>
      <c r="E40" s="12" t="s">
        <v>32</v>
      </c>
      <c r="F40" s="22"/>
      <c r="G40" s="22" t="s">
        <v>33</v>
      </c>
      <c r="H40" s="22" t="s">
        <v>34</v>
      </c>
      <c r="I40" s="22"/>
      <c r="J40" s="21" t="s">
        <v>35</v>
      </c>
      <c r="K40" s="22" t="s">
        <v>36</v>
      </c>
      <c r="L40" s="22" t="s">
        <v>216</v>
      </c>
      <c r="M40" s="21" t="s">
        <v>52</v>
      </c>
      <c r="N40" s="22" t="s">
        <v>33</v>
      </c>
      <c r="O40" s="21" t="s">
        <v>33</v>
      </c>
      <c r="P40" s="22" t="s">
        <v>107</v>
      </c>
      <c r="Q40" s="22" t="s">
        <v>34</v>
      </c>
      <c r="R40" s="22" t="s">
        <v>33</v>
      </c>
      <c r="S40" s="22" t="s">
        <v>34</v>
      </c>
      <c r="T40" s="22" t="s">
        <v>34</v>
      </c>
      <c r="U40" s="22" t="s">
        <v>34</v>
      </c>
      <c r="V40" s="22" t="s">
        <v>62</v>
      </c>
      <c r="W40" s="22" t="s">
        <v>63</v>
      </c>
      <c r="X40" s="22" t="s">
        <v>34</v>
      </c>
      <c r="Y40" s="22" t="s">
        <v>217</v>
      </c>
    </row>
    <row r="41" spans="1:25" ht="15.75" customHeight="1" x14ac:dyDescent="0.3">
      <c r="A41" s="9" t="s">
        <v>218</v>
      </c>
      <c r="B41" s="9" t="s">
        <v>31</v>
      </c>
      <c r="C41" s="9"/>
      <c r="D41" s="11"/>
      <c r="E41" s="12" t="s">
        <v>32</v>
      </c>
      <c r="F41" s="14"/>
      <c r="G41" s="14" t="s">
        <v>33</v>
      </c>
      <c r="H41" s="14" t="s">
        <v>34</v>
      </c>
      <c r="I41" s="14"/>
      <c r="J41" s="13" t="s">
        <v>35</v>
      </c>
      <c r="K41" s="14" t="s">
        <v>34</v>
      </c>
      <c r="L41" s="14" t="s">
        <v>33</v>
      </c>
      <c r="M41" s="13" t="s">
        <v>52</v>
      </c>
      <c r="N41" s="14" t="s">
        <v>33</v>
      </c>
      <c r="O41" s="13" t="s">
        <v>54</v>
      </c>
      <c r="P41" s="14" t="s">
        <v>88</v>
      </c>
      <c r="Q41" s="14" t="s">
        <v>56</v>
      </c>
      <c r="R41" s="14" t="s">
        <v>181</v>
      </c>
      <c r="S41" s="14" t="s">
        <v>34</v>
      </c>
      <c r="T41" s="14" t="s">
        <v>34</v>
      </c>
      <c r="U41" s="14" t="s">
        <v>34</v>
      </c>
      <c r="V41" s="14" t="s">
        <v>62</v>
      </c>
      <c r="W41" s="14" t="s">
        <v>63</v>
      </c>
      <c r="X41" s="14" t="s">
        <v>34</v>
      </c>
      <c r="Y41" s="14" t="s">
        <v>219</v>
      </c>
    </row>
    <row r="42" spans="1:25" ht="15.75" customHeight="1" x14ac:dyDescent="0.3">
      <c r="A42" s="9" t="s">
        <v>220</v>
      </c>
      <c r="B42" s="9" t="s">
        <v>31</v>
      </c>
      <c r="C42" s="9"/>
      <c r="D42" s="11"/>
      <c r="E42" s="12" t="s">
        <v>32</v>
      </c>
      <c r="F42" s="22"/>
      <c r="G42" s="22" t="s">
        <v>33</v>
      </c>
      <c r="H42" s="22" t="s">
        <v>42</v>
      </c>
      <c r="I42" s="22" t="s">
        <v>190</v>
      </c>
      <c r="J42" s="21" t="s">
        <v>35</v>
      </c>
      <c r="K42" s="22" t="s">
        <v>36</v>
      </c>
      <c r="L42" s="22" t="s">
        <v>71</v>
      </c>
      <c r="M42" s="21" t="s">
        <v>52</v>
      </c>
      <c r="N42" s="22" t="s">
        <v>72</v>
      </c>
      <c r="O42" s="21" t="s">
        <v>33</v>
      </c>
      <c r="P42" s="22" t="s">
        <v>60</v>
      </c>
      <c r="Q42" s="22" t="s">
        <v>34</v>
      </c>
      <c r="R42" s="22" t="s">
        <v>33</v>
      </c>
      <c r="S42" s="22" t="s">
        <v>34</v>
      </c>
      <c r="T42" s="22" t="s">
        <v>34</v>
      </c>
      <c r="U42" s="22" t="s">
        <v>42</v>
      </c>
      <c r="V42" s="22" t="s">
        <v>43</v>
      </c>
      <c r="W42" s="22" t="s">
        <v>44</v>
      </c>
      <c r="X42" s="22" t="s">
        <v>34</v>
      </c>
      <c r="Y42" s="22" t="s">
        <v>45</v>
      </c>
    </row>
    <row r="43" spans="1:25" ht="15.75" customHeight="1" x14ac:dyDescent="0.3">
      <c r="A43" s="9" t="s">
        <v>221</v>
      </c>
      <c r="B43" s="9" t="s">
        <v>31</v>
      </c>
      <c r="C43" s="9"/>
      <c r="D43" s="11"/>
      <c r="E43" s="12" t="s">
        <v>32</v>
      </c>
      <c r="F43" s="14"/>
      <c r="G43" s="14" t="s">
        <v>33</v>
      </c>
      <c r="H43" s="14" t="s">
        <v>34</v>
      </c>
      <c r="I43" s="14"/>
      <c r="J43" s="13" t="s">
        <v>35</v>
      </c>
      <c r="K43" s="14" t="s">
        <v>34</v>
      </c>
      <c r="L43" s="14" t="s">
        <v>222</v>
      </c>
      <c r="M43" s="13" t="s">
        <v>52</v>
      </c>
      <c r="N43" s="14" t="s">
        <v>76</v>
      </c>
      <c r="O43" s="13" t="s">
        <v>40</v>
      </c>
      <c r="P43" s="14" t="s">
        <v>107</v>
      </c>
      <c r="Q43" s="14" t="s">
        <v>34</v>
      </c>
      <c r="R43" s="14" t="s">
        <v>33</v>
      </c>
      <c r="S43" s="14" t="s">
        <v>34</v>
      </c>
      <c r="T43" s="14" t="s">
        <v>34</v>
      </c>
      <c r="U43" s="14" t="s">
        <v>34</v>
      </c>
      <c r="V43" s="14" t="s">
        <v>33</v>
      </c>
      <c r="W43" s="14" t="s">
        <v>33</v>
      </c>
      <c r="X43" s="14" t="s">
        <v>34</v>
      </c>
      <c r="Y43" s="14" t="s">
        <v>33</v>
      </c>
    </row>
    <row r="44" spans="1:25" ht="15.75" customHeight="1" x14ac:dyDescent="0.3">
      <c r="A44" s="9" t="s">
        <v>223</v>
      </c>
      <c r="B44" s="9" t="s">
        <v>31</v>
      </c>
      <c r="C44" s="9"/>
      <c r="D44" s="11"/>
      <c r="E44" s="12" t="s">
        <v>32</v>
      </c>
      <c r="F44" s="22"/>
      <c r="G44" s="22" t="s">
        <v>33</v>
      </c>
      <c r="H44" s="22" t="s">
        <v>34</v>
      </c>
      <c r="I44" s="22"/>
      <c r="J44" s="21" t="s">
        <v>35</v>
      </c>
      <c r="K44" s="22" t="s">
        <v>36</v>
      </c>
      <c r="L44" s="22" t="s">
        <v>224</v>
      </c>
      <c r="M44" s="21" t="s">
        <v>225</v>
      </c>
      <c r="N44" s="22" t="s">
        <v>226</v>
      </c>
      <c r="O44" s="21" t="s">
        <v>54</v>
      </c>
      <c r="P44" s="22" t="s">
        <v>60</v>
      </c>
      <c r="Q44" s="22" t="s">
        <v>42</v>
      </c>
      <c r="R44" s="22" t="s">
        <v>181</v>
      </c>
      <c r="S44" s="22" t="s">
        <v>34</v>
      </c>
      <c r="T44" s="22" t="s">
        <v>34</v>
      </c>
      <c r="U44" s="22" t="s">
        <v>42</v>
      </c>
      <c r="V44" s="22" t="s">
        <v>62</v>
      </c>
      <c r="W44" s="22" t="s">
        <v>63</v>
      </c>
      <c r="X44" s="22" t="s">
        <v>34</v>
      </c>
      <c r="Y44" s="22" t="s">
        <v>86</v>
      </c>
    </row>
    <row r="45" spans="1:25" ht="15.75" customHeight="1" x14ac:dyDescent="0.3">
      <c r="A45" s="9" t="s">
        <v>227</v>
      </c>
      <c r="B45" s="9" t="s">
        <v>31</v>
      </c>
      <c r="C45" s="9"/>
      <c r="D45" s="11"/>
      <c r="E45" s="12" t="s">
        <v>32</v>
      </c>
      <c r="F45" s="14"/>
      <c r="G45" s="14" t="s">
        <v>33</v>
      </c>
      <c r="H45" s="14" t="s">
        <v>34</v>
      </c>
      <c r="I45" s="14"/>
      <c r="J45" s="13" t="s">
        <v>35</v>
      </c>
      <c r="K45" s="14" t="s">
        <v>36</v>
      </c>
      <c r="L45" s="14" t="s">
        <v>228</v>
      </c>
      <c r="M45" s="13" t="s">
        <v>225</v>
      </c>
      <c r="N45" s="14" t="s">
        <v>33</v>
      </c>
      <c r="O45" s="13" t="s">
        <v>54</v>
      </c>
      <c r="P45" s="14" t="s">
        <v>229</v>
      </c>
      <c r="Q45" s="14" t="s">
        <v>56</v>
      </c>
      <c r="R45" s="14" t="s">
        <v>181</v>
      </c>
      <c r="S45" s="14" t="s">
        <v>34</v>
      </c>
      <c r="T45" s="14" t="s">
        <v>34</v>
      </c>
      <c r="U45" s="14" t="s">
        <v>34</v>
      </c>
      <c r="V45" s="14" t="s">
        <v>62</v>
      </c>
      <c r="W45" s="14" t="s">
        <v>63</v>
      </c>
      <c r="X45" s="14" t="s">
        <v>34</v>
      </c>
      <c r="Y45" s="14" t="s">
        <v>86</v>
      </c>
    </row>
    <row r="46" spans="1:25" ht="15.75" customHeight="1" x14ac:dyDescent="0.3">
      <c r="A46" s="9" t="s">
        <v>230</v>
      </c>
      <c r="B46" s="9" t="s">
        <v>31</v>
      </c>
      <c r="C46" s="9"/>
      <c r="D46" s="11"/>
      <c r="E46" s="12" t="s">
        <v>32</v>
      </c>
      <c r="F46" s="22"/>
      <c r="G46" s="22" t="s">
        <v>33</v>
      </c>
      <c r="H46" s="22" t="s">
        <v>34</v>
      </c>
      <c r="I46" s="22"/>
      <c r="J46" s="21" t="s">
        <v>35</v>
      </c>
      <c r="K46" s="22" t="s">
        <v>42</v>
      </c>
      <c r="L46" s="22" t="s">
        <v>231</v>
      </c>
      <c r="M46" s="21" t="s">
        <v>38</v>
      </c>
      <c r="N46" s="22" t="s">
        <v>232</v>
      </c>
      <c r="O46" s="21" t="s">
        <v>40</v>
      </c>
      <c r="P46" s="22" t="s">
        <v>107</v>
      </c>
      <c r="Q46" s="22" t="s">
        <v>34</v>
      </c>
      <c r="R46" s="22" t="s">
        <v>33</v>
      </c>
      <c r="S46" s="22" t="s">
        <v>34</v>
      </c>
      <c r="T46" s="22" t="s">
        <v>34</v>
      </c>
      <c r="U46" s="22" t="s">
        <v>42</v>
      </c>
      <c r="V46" s="22" t="s">
        <v>62</v>
      </c>
      <c r="W46" s="22" t="s">
        <v>63</v>
      </c>
      <c r="X46" s="22" t="s">
        <v>34</v>
      </c>
      <c r="Y46" s="22" t="s">
        <v>233</v>
      </c>
    </row>
    <row r="47" spans="1:25" ht="15.75" customHeight="1" x14ac:dyDescent="0.3">
      <c r="A47" s="9" t="s">
        <v>234</v>
      </c>
      <c r="B47" s="9" t="s">
        <v>31</v>
      </c>
      <c r="C47" s="9"/>
      <c r="D47" s="11"/>
      <c r="E47" s="12" t="s">
        <v>32</v>
      </c>
      <c r="F47" s="14"/>
      <c r="G47" s="14" t="s">
        <v>33</v>
      </c>
      <c r="H47" s="14" t="s">
        <v>34</v>
      </c>
      <c r="I47" s="14"/>
      <c r="J47" s="13" t="s">
        <v>35</v>
      </c>
      <c r="K47" s="14" t="s">
        <v>34</v>
      </c>
      <c r="L47" s="14" t="s">
        <v>235</v>
      </c>
      <c r="M47" s="13" t="s">
        <v>38</v>
      </c>
      <c r="N47" s="14" t="s">
        <v>33</v>
      </c>
      <c r="O47" s="13" t="s">
        <v>33</v>
      </c>
      <c r="P47" s="14" t="s">
        <v>107</v>
      </c>
      <c r="Q47" s="14" t="s">
        <v>34</v>
      </c>
      <c r="R47" s="14" t="s">
        <v>236</v>
      </c>
      <c r="S47" s="14" t="s">
        <v>34</v>
      </c>
      <c r="T47" s="14" t="s">
        <v>34</v>
      </c>
      <c r="U47" s="14" t="s">
        <v>34</v>
      </c>
      <c r="V47" s="14" t="s">
        <v>237</v>
      </c>
      <c r="W47" s="14" t="s">
        <v>63</v>
      </c>
      <c r="X47" s="14" t="s">
        <v>34</v>
      </c>
      <c r="Y47" s="14" t="s">
        <v>238</v>
      </c>
    </row>
    <row r="48" spans="1:25" ht="15.75" customHeight="1" x14ac:dyDescent="0.3">
      <c r="A48" s="9" t="s">
        <v>245</v>
      </c>
      <c r="B48" s="9" t="s">
        <v>31</v>
      </c>
      <c r="C48" s="9"/>
      <c r="D48" s="11"/>
      <c r="E48" s="12" t="s">
        <v>32</v>
      </c>
      <c r="F48" s="22"/>
      <c r="G48" s="22" t="s">
        <v>33</v>
      </c>
      <c r="H48" s="22" t="s">
        <v>42</v>
      </c>
      <c r="I48" s="22" t="s">
        <v>33</v>
      </c>
      <c r="J48" s="21" t="s">
        <v>35</v>
      </c>
      <c r="K48" s="22" t="s">
        <v>36</v>
      </c>
      <c r="L48" s="22" t="s">
        <v>71</v>
      </c>
      <c r="M48" s="21" t="s">
        <v>52</v>
      </c>
      <c r="N48" s="22" t="s">
        <v>246</v>
      </c>
      <c r="O48" s="21" t="s">
        <v>40</v>
      </c>
      <c r="P48" s="22" t="s">
        <v>60</v>
      </c>
      <c r="Q48" s="22" t="s">
        <v>34</v>
      </c>
      <c r="R48" s="22" t="s">
        <v>33</v>
      </c>
      <c r="S48" s="22" t="s">
        <v>34</v>
      </c>
      <c r="T48" s="22" t="s">
        <v>34</v>
      </c>
      <c r="U48" s="22" t="s">
        <v>34</v>
      </c>
      <c r="V48" s="22" t="s">
        <v>43</v>
      </c>
      <c r="W48" s="22" t="s">
        <v>44</v>
      </c>
      <c r="X48" s="22" t="s">
        <v>34</v>
      </c>
      <c r="Y48" s="22" t="s">
        <v>45</v>
      </c>
    </row>
    <row r="49" spans="1:25" ht="15.75" customHeight="1" x14ac:dyDescent="0.3">
      <c r="A49" s="9" t="s">
        <v>247</v>
      </c>
      <c r="B49" s="9" t="s">
        <v>31</v>
      </c>
      <c r="C49" s="9"/>
      <c r="D49" s="11"/>
      <c r="E49" s="12" t="s">
        <v>32</v>
      </c>
      <c r="F49" s="14"/>
      <c r="G49" s="14" t="s">
        <v>92</v>
      </c>
      <c r="H49" s="14" t="s">
        <v>42</v>
      </c>
      <c r="I49" s="14" t="s">
        <v>66</v>
      </c>
      <c r="J49" s="13" t="s">
        <v>35</v>
      </c>
      <c r="K49" s="14" t="s">
        <v>42</v>
      </c>
      <c r="L49" s="14" t="s">
        <v>71</v>
      </c>
      <c r="M49" s="13" t="s">
        <v>52</v>
      </c>
      <c r="N49" s="14" t="s">
        <v>39</v>
      </c>
      <c r="O49" s="13" t="s">
        <v>40</v>
      </c>
      <c r="P49" s="14" t="s">
        <v>60</v>
      </c>
      <c r="Q49" s="14" t="s">
        <v>56</v>
      </c>
      <c r="R49" s="14" t="s">
        <v>33</v>
      </c>
      <c r="S49" s="14" t="s">
        <v>34</v>
      </c>
      <c r="T49" s="14" t="s">
        <v>34</v>
      </c>
      <c r="U49" s="14" t="s">
        <v>42</v>
      </c>
      <c r="V49" s="14" t="s">
        <v>43</v>
      </c>
      <c r="W49" s="14" t="s">
        <v>44</v>
      </c>
      <c r="X49" s="14" t="s">
        <v>34</v>
      </c>
      <c r="Y49" s="14" t="s">
        <v>45</v>
      </c>
    </row>
    <row r="50" spans="1:25" ht="15.75" customHeight="1" x14ac:dyDescent="0.3">
      <c r="A50" s="9" t="s">
        <v>248</v>
      </c>
      <c r="B50" s="9" t="s">
        <v>31</v>
      </c>
      <c r="C50" s="9"/>
      <c r="D50" s="11"/>
      <c r="E50" s="16" t="s">
        <v>161</v>
      </c>
      <c r="F50" s="22"/>
      <c r="G50" s="22" t="s">
        <v>249</v>
      </c>
      <c r="H50" s="22" t="s">
        <v>34</v>
      </c>
      <c r="I50" s="22"/>
      <c r="J50" s="21" t="s">
        <v>35</v>
      </c>
      <c r="K50" s="22" t="s">
        <v>42</v>
      </c>
      <c r="L50" s="22" t="s">
        <v>250</v>
      </c>
      <c r="M50" s="21" t="s">
        <v>52</v>
      </c>
      <c r="N50" s="22" t="s">
        <v>251</v>
      </c>
      <c r="O50" s="21" t="s">
        <v>60</v>
      </c>
      <c r="P50" s="22" t="s">
        <v>60</v>
      </c>
      <c r="Q50" s="22" t="s">
        <v>34</v>
      </c>
      <c r="R50" s="22" t="s">
        <v>33</v>
      </c>
      <c r="S50" s="22" t="s">
        <v>34</v>
      </c>
      <c r="T50" s="22" t="s">
        <v>34</v>
      </c>
      <c r="U50" s="22" t="s">
        <v>42</v>
      </c>
      <c r="V50" s="22" t="s">
        <v>43</v>
      </c>
      <c r="W50" s="22" t="s">
        <v>44</v>
      </c>
      <c r="X50" s="22" t="s">
        <v>34</v>
      </c>
      <c r="Y50" s="22" t="s">
        <v>252</v>
      </c>
    </row>
    <row r="51" spans="1:25" ht="15.75" customHeight="1" x14ac:dyDescent="0.3">
      <c r="A51" s="9" t="s">
        <v>253</v>
      </c>
      <c r="B51" s="9" t="s">
        <v>31</v>
      </c>
      <c r="C51" s="9"/>
      <c r="D51" s="11"/>
      <c r="E51" s="12" t="s">
        <v>32</v>
      </c>
      <c r="F51" s="14"/>
      <c r="G51" s="14" t="s">
        <v>33</v>
      </c>
      <c r="H51" s="14" t="s">
        <v>42</v>
      </c>
      <c r="I51" s="14" t="s">
        <v>254</v>
      </c>
      <c r="J51" s="13" t="s">
        <v>35</v>
      </c>
      <c r="K51" s="14" t="s">
        <v>42</v>
      </c>
      <c r="L51" s="14" t="s">
        <v>255</v>
      </c>
      <c r="M51" s="13" t="s">
        <v>52</v>
      </c>
      <c r="N51" s="14" t="s">
        <v>256</v>
      </c>
      <c r="O51" s="13" t="s">
        <v>40</v>
      </c>
      <c r="P51" s="14" t="s">
        <v>60</v>
      </c>
      <c r="Q51" s="14" t="s">
        <v>34</v>
      </c>
      <c r="R51" s="14" t="s">
        <v>132</v>
      </c>
      <c r="S51" s="14" t="s">
        <v>34</v>
      </c>
      <c r="T51" s="14" t="s">
        <v>34</v>
      </c>
      <c r="U51" s="14" t="s">
        <v>42</v>
      </c>
      <c r="V51" s="14" t="s">
        <v>43</v>
      </c>
      <c r="W51" s="14" t="s">
        <v>63</v>
      </c>
      <c r="X51" s="14" t="s">
        <v>34</v>
      </c>
      <c r="Y51" s="14" t="s">
        <v>147</v>
      </c>
    </row>
    <row r="52" spans="1:25" ht="15.75" customHeight="1" x14ac:dyDescent="0.3">
      <c r="A52" s="9" t="s">
        <v>257</v>
      </c>
      <c r="B52" s="9" t="s">
        <v>31</v>
      </c>
      <c r="C52" s="9"/>
      <c r="D52" s="11"/>
      <c r="E52" s="12" t="s">
        <v>32</v>
      </c>
      <c r="F52" s="22"/>
      <c r="G52" s="22" t="s">
        <v>33</v>
      </c>
      <c r="H52" s="22" t="s">
        <v>34</v>
      </c>
      <c r="I52" s="22"/>
      <c r="J52" s="21" t="s">
        <v>35</v>
      </c>
      <c r="K52" s="22" t="s">
        <v>42</v>
      </c>
      <c r="L52" s="22" t="s">
        <v>67</v>
      </c>
      <c r="M52" s="21" t="s">
        <v>225</v>
      </c>
      <c r="N52" s="22" t="s">
        <v>33</v>
      </c>
      <c r="O52" s="21" t="s">
        <v>60</v>
      </c>
      <c r="P52" s="22" t="s">
        <v>41</v>
      </c>
      <c r="Q52" s="22" t="s">
        <v>34</v>
      </c>
      <c r="R52" s="22" t="s">
        <v>181</v>
      </c>
      <c r="S52" s="22" t="s">
        <v>34</v>
      </c>
      <c r="T52" s="22" t="s">
        <v>34</v>
      </c>
      <c r="U52" s="22" t="s">
        <v>42</v>
      </c>
      <c r="V52" s="22" t="s">
        <v>62</v>
      </c>
      <c r="W52" s="22" t="s">
        <v>63</v>
      </c>
      <c r="X52" s="22" t="s">
        <v>34</v>
      </c>
      <c r="Y52" s="22" t="s">
        <v>68</v>
      </c>
    </row>
    <row r="53" spans="1:25" ht="15.75" customHeight="1" x14ac:dyDescent="0.3">
      <c r="A53" s="9" t="s">
        <v>258</v>
      </c>
      <c r="B53" s="9" t="s">
        <v>31</v>
      </c>
      <c r="C53" s="9"/>
      <c r="D53" s="11"/>
      <c r="E53" s="12" t="s">
        <v>32</v>
      </c>
      <c r="F53" s="14"/>
      <c r="G53" s="14" t="s">
        <v>33</v>
      </c>
      <c r="H53" s="14" t="s">
        <v>34</v>
      </c>
      <c r="I53" s="14"/>
      <c r="J53" s="13" t="s">
        <v>35</v>
      </c>
      <c r="K53" s="14" t="s">
        <v>36</v>
      </c>
      <c r="L53" s="14" t="s">
        <v>118</v>
      </c>
      <c r="M53" s="13" t="s">
        <v>38</v>
      </c>
      <c r="N53" s="14" t="s">
        <v>72</v>
      </c>
      <c r="O53" s="13" t="s">
        <v>60</v>
      </c>
      <c r="P53" s="14" t="s">
        <v>60</v>
      </c>
      <c r="Q53" s="14" t="s">
        <v>34</v>
      </c>
      <c r="R53" s="14" t="s">
        <v>33</v>
      </c>
      <c r="S53" s="14" t="s">
        <v>34</v>
      </c>
      <c r="T53" s="14" t="s">
        <v>34</v>
      </c>
      <c r="U53" s="14" t="s">
        <v>42</v>
      </c>
      <c r="V53" s="14" t="s">
        <v>43</v>
      </c>
      <c r="W53" s="14" t="s">
        <v>44</v>
      </c>
      <c r="X53" s="14" t="s">
        <v>34</v>
      </c>
      <c r="Y53" s="14" t="s">
        <v>45</v>
      </c>
    </row>
    <row r="54" spans="1:25" ht="15.75" customHeight="1" x14ac:dyDescent="0.3">
      <c r="A54" s="9" t="s">
        <v>259</v>
      </c>
      <c r="B54" s="9" t="s">
        <v>31</v>
      </c>
      <c r="C54" s="9"/>
      <c r="D54" s="11"/>
      <c r="E54" s="12" t="s">
        <v>32</v>
      </c>
      <c r="F54" s="22"/>
      <c r="G54" s="22" t="s">
        <v>33</v>
      </c>
      <c r="H54" s="22" t="s">
        <v>34</v>
      </c>
      <c r="I54" s="22"/>
      <c r="J54" s="21" t="s">
        <v>35</v>
      </c>
      <c r="K54" s="22" t="s">
        <v>42</v>
      </c>
      <c r="L54" s="22" t="s">
        <v>260</v>
      </c>
      <c r="M54" s="21" t="s">
        <v>52</v>
      </c>
      <c r="N54" s="22" t="s">
        <v>59</v>
      </c>
      <c r="O54" s="21" t="s">
        <v>54</v>
      </c>
      <c r="P54" s="22" t="s">
        <v>60</v>
      </c>
      <c r="Q54" s="22" t="s">
        <v>42</v>
      </c>
      <c r="R54" s="22" t="s">
        <v>99</v>
      </c>
      <c r="S54" s="22" t="s">
        <v>34</v>
      </c>
      <c r="T54" s="22" t="s">
        <v>34</v>
      </c>
      <c r="U54" s="22" t="s">
        <v>34</v>
      </c>
      <c r="V54" s="22" t="s">
        <v>62</v>
      </c>
      <c r="W54" s="22" t="s">
        <v>63</v>
      </c>
      <c r="X54" s="22" t="s">
        <v>34</v>
      </c>
      <c r="Y54" s="22" t="s">
        <v>80</v>
      </c>
    </row>
    <row r="55" spans="1:25" ht="15.75" customHeight="1" x14ac:dyDescent="0.3">
      <c r="A55" s="9" t="s">
        <v>270</v>
      </c>
      <c r="B55" s="9" t="s">
        <v>31</v>
      </c>
      <c r="C55" s="9"/>
      <c r="D55" s="11"/>
      <c r="E55" s="16" t="s">
        <v>161</v>
      </c>
      <c r="F55" s="14"/>
      <c r="G55" s="14" t="s">
        <v>33</v>
      </c>
      <c r="H55" s="14" t="s">
        <v>34</v>
      </c>
      <c r="I55" s="14"/>
      <c r="J55" s="13" t="s">
        <v>35</v>
      </c>
      <c r="K55" s="14" t="s">
        <v>36</v>
      </c>
      <c r="L55" s="14" t="s">
        <v>271</v>
      </c>
      <c r="M55" s="13" t="s">
        <v>52</v>
      </c>
      <c r="N55" s="14" t="s">
        <v>33</v>
      </c>
      <c r="O55" s="13" t="s">
        <v>54</v>
      </c>
      <c r="P55" s="14" t="s">
        <v>60</v>
      </c>
      <c r="Q55" s="14" t="s">
        <v>34</v>
      </c>
      <c r="R55" s="14" t="s">
        <v>33</v>
      </c>
      <c r="S55" s="14" t="s">
        <v>34</v>
      </c>
      <c r="T55" s="14" t="s">
        <v>34</v>
      </c>
      <c r="U55" s="14" t="s">
        <v>34</v>
      </c>
      <c r="V55" s="14" t="s">
        <v>62</v>
      </c>
      <c r="W55" s="14" t="s">
        <v>63</v>
      </c>
      <c r="X55" s="14" t="s">
        <v>34</v>
      </c>
      <c r="Y55" s="14" t="s">
        <v>86</v>
      </c>
    </row>
    <row r="56" spans="1:25" ht="15.75" customHeight="1" x14ac:dyDescent="0.3">
      <c r="A56" s="9" t="s">
        <v>272</v>
      </c>
      <c r="B56" s="9" t="s">
        <v>31</v>
      </c>
      <c r="C56" s="9"/>
      <c r="D56" s="11"/>
      <c r="E56" s="12" t="s">
        <v>32</v>
      </c>
      <c r="F56" s="22"/>
      <c r="G56" s="22" t="s">
        <v>172</v>
      </c>
      <c r="H56" s="22" t="s">
        <v>34</v>
      </c>
      <c r="I56" s="22"/>
      <c r="J56" s="21" t="s">
        <v>35</v>
      </c>
      <c r="K56" s="22" t="s">
        <v>42</v>
      </c>
      <c r="L56" s="22" t="s">
        <v>273</v>
      </c>
      <c r="M56" s="21" t="s">
        <v>52</v>
      </c>
      <c r="N56" s="22" t="s">
        <v>274</v>
      </c>
      <c r="O56" s="21" t="s">
        <v>54</v>
      </c>
      <c r="P56" s="22" t="s">
        <v>60</v>
      </c>
      <c r="Q56" s="22" t="s">
        <v>34</v>
      </c>
      <c r="R56" s="22" t="s">
        <v>33</v>
      </c>
      <c r="S56" s="22" t="s">
        <v>34</v>
      </c>
      <c r="T56" s="22" t="s">
        <v>42</v>
      </c>
      <c r="U56" s="22" t="s">
        <v>34</v>
      </c>
      <c r="V56" s="22" t="s">
        <v>62</v>
      </c>
      <c r="W56" s="22" t="s">
        <v>63</v>
      </c>
      <c r="X56" s="22" t="s">
        <v>34</v>
      </c>
      <c r="Y56" s="22" t="s">
        <v>173</v>
      </c>
    </row>
    <row r="57" spans="1:25" ht="15.75" customHeight="1" x14ac:dyDescent="0.3">
      <c r="A57" s="9" t="s">
        <v>277</v>
      </c>
      <c r="B57" s="9" t="s">
        <v>31</v>
      </c>
      <c r="C57" s="9"/>
      <c r="D57" s="11"/>
      <c r="E57" s="9" t="s">
        <v>70</v>
      </c>
      <c r="F57" s="14"/>
      <c r="G57" s="14" t="s">
        <v>92</v>
      </c>
      <c r="H57" s="14" t="s">
        <v>34</v>
      </c>
      <c r="I57" s="14"/>
      <c r="J57" s="13" t="s">
        <v>35</v>
      </c>
      <c r="K57" s="14" t="s">
        <v>42</v>
      </c>
      <c r="L57" s="14" t="s">
        <v>67</v>
      </c>
      <c r="M57" s="13" t="s">
        <v>52</v>
      </c>
      <c r="N57" s="14" t="s">
        <v>33</v>
      </c>
      <c r="O57" s="13" t="s">
        <v>60</v>
      </c>
      <c r="P57" s="14" t="s">
        <v>107</v>
      </c>
      <c r="Q57" s="14" t="s">
        <v>34</v>
      </c>
      <c r="R57" s="14" t="s">
        <v>33</v>
      </c>
      <c r="S57" s="14" t="s">
        <v>34</v>
      </c>
      <c r="T57" s="14" t="s">
        <v>34</v>
      </c>
      <c r="U57" s="14" t="s">
        <v>34</v>
      </c>
      <c r="V57" s="14" t="s">
        <v>62</v>
      </c>
      <c r="W57" s="14" t="s">
        <v>63</v>
      </c>
      <c r="X57" s="14" t="s">
        <v>34</v>
      </c>
      <c r="Y57" s="14" t="s">
        <v>68</v>
      </c>
    </row>
    <row r="58" spans="1:25" ht="15.75" customHeight="1" x14ac:dyDescent="0.3">
      <c r="A58" s="9" t="s">
        <v>286</v>
      </c>
      <c r="B58" s="9" t="s">
        <v>31</v>
      </c>
      <c r="C58" s="9"/>
      <c r="D58" s="11"/>
      <c r="E58" s="12" t="s">
        <v>32</v>
      </c>
      <c r="F58" s="22"/>
      <c r="G58" s="22" t="s">
        <v>33</v>
      </c>
      <c r="H58" s="22" t="s">
        <v>34</v>
      </c>
      <c r="I58" s="22"/>
      <c r="J58" s="21" t="s">
        <v>35</v>
      </c>
      <c r="K58" s="22" t="s">
        <v>42</v>
      </c>
      <c r="L58" s="22" t="s">
        <v>141</v>
      </c>
      <c r="M58" s="21" t="s">
        <v>52</v>
      </c>
      <c r="N58" s="22" t="s">
        <v>287</v>
      </c>
      <c r="O58" s="21" t="s">
        <v>60</v>
      </c>
      <c r="P58" s="22" t="s">
        <v>107</v>
      </c>
      <c r="Q58" s="22" t="s">
        <v>34</v>
      </c>
      <c r="R58" s="22" t="s">
        <v>33</v>
      </c>
      <c r="S58" s="22" t="s">
        <v>34</v>
      </c>
      <c r="T58" s="22" t="s">
        <v>34</v>
      </c>
      <c r="U58" s="22" t="s">
        <v>34</v>
      </c>
      <c r="V58" s="22" t="s">
        <v>43</v>
      </c>
      <c r="W58" s="22" t="s">
        <v>44</v>
      </c>
      <c r="X58" s="22" t="s">
        <v>34</v>
      </c>
      <c r="Y58" s="22" t="s">
        <v>45</v>
      </c>
    </row>
    <row r="59" spans="1:25" ht="15.75" customHeight="1" x14ac:dyDescent="0.3">
      <c r="A59" s="9" t="s">
        <v>295</v>
      </c>
      <c r="B59" s="9" t="s">
        <v>31</v>
      </c>
      <c r="C59" s="9"/>
      <c r="D59" s="11"/>
      <c r="E59" s="12" t="s">
        <v>32</v>
      </c>
      <c r="F59" s="14"/>
      <c r="G59" s="14" t="s">
        <v>296</v>
      </c>
      <c r="H59" s="14" t="s">
        <v>34</v>
      </c>
      <c r="I59" s="14"/>
      <c r="J59" s="13" t="s">
        <v>35</v>
      </c>
      <c r="K59" s="14" t="s">
        <v>42</v>
      </c>
      <c r="L59" s="14" t="s">
        <v>297</v>
      </c>
      <c r="M59" s="13" t="s">
        <v>225</v>
      </c>
      <c r="N59" s="14" t="s">
        <v>298</v>
      </c>
      <c r="O59" s="13" t="s">
        <v>299</v>
      </c>
      <c r="P59" s="14" t="s">
        <v>107</v>
      </c>
      <c r="Q59" s="14" t="s">
        <v>42</v>
      </c>
      <c r="R59" s="14" t="s">
        <v>300</v>
      </c>
      <c r="S59" s="14" t="s">
        <v>42</v>
      </c>
      <c r="T59" s="14" t="s">
        <v>34</v>
      </c>
      <c r="U59" s="14" t="s">
        <v>34</v>
      </c>
      <c r="V59" s="14" t="s">
        <v>43</v>
      </c>
      <c r="W59" s="14" t="s">
        <v>44</v>
      </c>
      <c r="X59" s="14" t="s">
        <v>34</v>
      </c>
      <c r="Y59" s="14" t="s">
        <v>100</v>
      </c>
    </row>
    <row r="60" spans="1:25" ht="15.75" customHeight="1" x14ac:dyDescent="0.3">
      <c r="A60" s="9" t="s">
        <v>301</v>
      </c>
      <c r="B60" s="9" t="s">
        <v>31</v>
      </c>
      <c r="C60" s="9"/>
      <c r="D60" s="11"/>
      <c r="E60" s="12" t="s">
        <v>32</v>
      </c>
      <c r="F60" s="22"/>
      <c r="G60" s="22" t="s">
        <v>92</v>
      </c>
      <c r="H60" s="22" t="s">
        <v>34</v>
      </c>
      <c r="I60" s="22"/>
      <c r="J60" s="21" t="s">
        <v>302</v>
      </c>
      <c r="K60" s="22" t="s">
        <v>42</v>
      </c>
      <c r="L60" s="22" t="s">
        <v>303</v>
      </c>
      <c r="M60" s="21" t="s">
        <v>225</v>
      </c>
      <c r="N60" s="22" t="s">
        <v>304</v>
      </c>
      <c r="O60" s="21" t="s">
        <v>305</v>
      </c>
      <c r="P60" s="22" t="s">
        <v>107</v>
      </c>
      <c r="Q60" s="22" t="s">
        <v>42</v>
      </c>
      <c r="R60" s="22" t="s">
        <v>181</v>
      </c>
      <c r="S60" s="22" t="s">
        <v>42</v>
      </c>
      <c r="T60" s="22" t="s">
        <v>34</v>
      </c>
      <c r="U60" s="22" t="s">
        <v>34</v>
      </c>
      <c r="V60" s="22" t="s">
        <v>62</v>
      </c>
      <c r="W60" s="22" t="s">
        <v>63</v>
      </c>
      <c r="X60" s="22" t="s">
        <v>34</v>
      </c>
      <c r="Y60" s="22" t="s">
        <v>306</v>
      </c>
    </row>
    <row r="61" spans="1:25" ht="15.75" customHeight="1" x14ac:dyDescent="0.3">
      <c r="A61" s="9" t="s">
        <v>307</v>
      </c>
      <c r="B61" s="9" t="s">
        <v>31</v>
      </c>
      <c r="C61" s="9"/>
      <c r="D61" s="11"/>
      <c r="E61" s="12" t="s">
        <v>32</v>
      </c>
      <c r="F61" s="14"/>
      <c r="G61" s="14" t="s">
        <v>49</v>
      </c>
      <c r="H61" s="14" t="s">
        <v>42</v>
      </c>
      <c r="I61" s="14" t="s">
        <v>308</v>
      </c>
      <c r="J61" s="13" t="s">
        <v>35</v>
      </c>
      <c r="K61" s="14" t="s">
        <v>34</v>
      </c>
      <c r="L61" s="14"/>
      <c r="M61" s="13" t="s">
        <v>309</v>
      </c>
      <c r="N61" s="14" t="s">
        <v>310</v>
      </c>
      <c r="O61" s="13" t="s">
        <v>40</v>
      </c>
      <c r="P61" s="14" t="s">
        <v>55</v>
      </c>
      <c r="Q61" s="14" t="s">
        <v>42</v>
      </c>
      <c r="R61" s="14" t="s">
        <v>311</v>
      </c>
      <c r="S61" s="14" t="s">
        <v>34</v>
      </c>
      <c r="T61" s="14" t="s">
        <v>42</v>
      </c>
      <c r="U61" s="14" t="s">
        <v>34</v>
      </c>
      <c r="V61" s="14" t="s">
        <v>33</v>
      </c>
      <c r="W61" s="14" t="s">
        <v>33</v>
      </c>
      <c r="X61" s="14" t="s">
        <v>34</v>
      </c>
      <c r="Y61" s="14" t="s">
        <v>33</v>
      </c>
    </row>
    <row r="62" spans="1:25" ht="15.75" customHeight="1" x14ac:dyDescent="0.3">
      <c r="A62" s="9" t="s">
        <v>312</v>
      </c>
      <c r="B62" s="9" t="s">
        <v>31</v>
      </c>
      <c r="C62" s="9"/>
      <c r="D62" s="11"/>
      <c r="E62" s="16" t="s">
        <v>161</v>
      </c>
      <c r="F62" s="22"/>
      <c r="G62" s="22" t="s">
        <v>33</v>
      </c>
      <c r="H62" s="22" t="s">
        <v>34</v>
      </c>
      <c r="I62" s="22"/>
      <c r="J62" s="21" t="s">
        <v>35</v>
      </c>
      <c r="K62" s="22" t="s">
        <v>42</v>
      </c>
      <c r="L62" s="22" t="s">
        <v>313</v>
      </c>
      <c r="M62" s="21" t="s">
        <v>314</v>
      </c>
      <c r="N62" s="22" t="s">
        <v>315</v>
      </c>
      <c r="O62" s="21" t="s">
        <v>40</v>
      </c>
      <c r="P62" s="22" t="s">
        <v>107</v>
      </c>
      <c r="Q62" s="22" t="s">
        <v>42</v>
      </c>
      <c r="R62" s="22" t="s">
        <v>316</v>
      </c>
      <c r="S62" s="22" t="s">
        <v>34</v>
      </c>
      <c r="T62" s="22" t="s">
        <v>34</v>
      </c>
      <c r="U62" s="22" t="s">
        <v>34</v>
      </c>
      <c r="V62" s="22" t="s">
        <v>43</v>
      </c>
      <c r="W62" s="22" t="s">
        <v>33</v>
      </c>
      <c r="X62" s="22" t="s">
        <v>34</v>
      </c>
      <c r="Y62" s="22" t="s">
        <v>33</v>
      </c>
    </row>
    <row r="63" spans="1:25" ht="15.75" customHeight="1" x14ac:dyDescent="0.3">
      <c r="A63" s="9" t="s">
        <v>317</v>
      </c>
      <c r="B63" s="9" t="s">
        <v>31</v>
      </c>
      <c r="C63" s="9"/>
      <c r="D63" s="11"/>
      <c r="E63" s="15" t="s">
        <v>47</v>
      </c>
      <c r="F63" s="14" t="s">
        <v>318</v>
      </c>
      <c r="G63" s="14" t="s">
        <v>49</v>
      </c>
      <c r="H63" s="14" t="s">
        <v>34</v>
      </c>
      <c r="I63" s="14"/>
      <c r="J63" s="13" t="s">
        <v>35</v>
      </c>
      <c r="K63" s="14" t="s">
        <v>42</v>
      </c>
      <c r="L63" s="14" t="s">
        <v>313</v>
      </c>
      <c r="M63" s="13" t="s">
        <v>52</v>
      </c>
      <c r="N63" s="14" t="s">
        <v>207</v>
      </c>
      <c r="O63" s="13" t="s">
        <v>54</v>
      </c>
      <c r="P63" s="14" t="s">
        <v>107</v>
      </c>
      <c r="Q63" s="14" t="s">
        <v>42</v>
      </c>
      <c r="R63" s="14" t="s">
        <v>319</v>
      </c>
      <c r="S63" s="14" t="s">
        <v>34</v>
      </c>
      <c r="T63" s="14" t="s">
        <v>42</v>
      </c>
      <c r="U63" s="14" t="s">
        <v>34</v>
      </c>
      <c r="V63" s="14" t="s">
        <v>43</v>
      </c>
      <c r="W63" s="14" t="s">
        <v>44</v>
      </c>
      <c r="X63" s="14" t="s">
        <v>34</v>
      </c>
      <c r="Y63" s="14" t="s">
        <v>45</v>
      </c>
    </row>
    <row r="64" spans="1:25" ht="15.75" customHeight="1" x14ac:dyDescent="0.3">
      <c r="A64" s="9" t="s">
        <v>320</v>
      </c>
      <c r="B64" s="9" t="s">
        <v>31</v>
      </c>
      <c r="C64" s="9"/>
      <c r="D64" s="11"/>
      <c r="E64" s="12" t="s">
        <v>32</v>
      </c>
      <c r="F64" s="22"/>
      <c r="G64" s="22" t="s">
        <v>321</v>
      </c>
      <c r="H64" s="22" t="s">
        <v>42</v>
      </c>
      <c r="I64" s="22" t="s">
        <v>322</v>
      </c>
      <c r="J64" s="21" t="s">
        <v>35</v>
      </c>
      <c r="K64" s="22" t="s">
        <v>34</v>
      </c>
      <c r="L64" s="22"/>
      <c r="M64" s="21" t="s">
        <v>52</v>
      </c>
      <c r="N64" s="22" t="s">
        <v>323</v>
      </c>
      <c r="O64" s="21" t="s">
        <v>40</v>
      </c>
      <c r="P64" s="22" t="s">
        <v>55</v>
      </c>
      <c r="Q64" s="22" t="s">
        <v>42</v>
      </c>
      <c r="R64" s="22" t="s">
        <v>324</v>
      </c>
      <c r="S64" s="22" t="s">
        <v>42</v>
      </c>
      <c r="T64" s="22" t="s">
        <v>34</v>
      </c>
      <c r="U64" s="22" t="s">
        <v>34</v>
      </c>
      <c r="V64" s="22" t="s">
        <v>62</v>
      </c>
      <c r="W64" s="22" t="s">
        <v>63</v>
      </c>
      <c r="X64" s="22" t="s">
        <v>34</v>
      </c>
      <c r="Y64" s="22" t="s">
        <v>282</v>
      </c>
    </row>
    <row r="65" spans="1:25" ht="15.75" customHeight="1" x14ac:dyDescent="0.3">
      <c r="A65" s="9" t="s">
        <v>325</v>
      </c>
      <c r="B65" s="9" t="s">
        <v>31</v>
      </c>
      <c r="C65" s="9"/>
      <c r="D65" s="11"/>
      <c r="E65" s="12" t="s">
        <v>32</v>
      </c>
      <c r="F65" s="14"/>
      <c r="G65" s="14" t="s">
        <v>326</v>
      </c>
      <c r="H65" s="14" t="s">
        <v>42</v>
      </c>
      <c r="I65" s="14" t="s">
        <v>327</v>
      </c>
      <c r="J65" s="13" t="s">
        <v>35</v>
      </c>
      <c r="K65" s="14" t="s">
        <v>42</v>
      </c>
      <c r="L65" s="14" t="s">
        <v>328</v>
      </c>
      <c r="M65" s="13" t="s">
        <v>52</v>
      </c>
      <c r="N65" s="14" t="s">
        <v>329</v>
      </c>
      <c r="O65" s="13" t="s">
        <v>40</v>
      </c>
      <c r="P65" s="14" t="s">
        <v>55</v>
      </c>
      <c r="Q65" s="14" t="s">
        <v>42</v>
      </c>
      <c r="R65" s="14" t="s">
        <v>330</v>
      </c>
      <c r="S65" s="14" t="s">
        <v>34</v>
      </c>
      <c r="T65" s="14" t="s">
        <v>34</v>
      </c>
      <c r="U65" s="14" t="s">
        <v>34</v>
      </c>
      <c r="V65" s="14" t="s">
        <v>43</v>
      </c>
      <c r="W65" s="14" t="s">
        <v>44</v>
      </c>
      <c r="X65" s="14" t="s">
        <v>34</v>
      </c>
      <c r="Y65" s="14" t="s">
        <v>45</v>
      </c>
    </row>
    <row r="66" spans="1:25" ht="15.75" customHeight="1" x14ac:dyDescent="0.3">
      <c r="A66" s="9" t="s">
        <v>331</v>
      </c>
      <c r="B66" s="9" t="s">
        <v>31</v>
      </c>
      <c r="C66" s="9"/>
      <c r="D66" s="11"/>
      <c r="E66" s="12" t="s">
        <v>32</v>
      </c>
      <c r="F66" s="22"/>
      <c r="G66" s="22" t="s">
        <v>332</v>
      </c>
      <c r="H66" s="22" t="s">
        <v>42</v>
      </c>
      <c r="I66" s="22" t="s">
        <v>333</v>
      </c>
      <c r="J66" s="21" t="s">
        <v>334</v>
      </c>
      <c r="K66" s="22" t="s">
        <v>42</v>
      </c>
      <c r="L66" s="22" t="s">
        <v>335</v>
      </c>
      <c r="M66" s="21" t="s">
        <v>52</v>
      </c>
      <c r="N66" s="22" t="s">
        <v>336</v>
      </c>
      <c r="O66" s="21" t="s">
        <v>305</v>
      </c>
      <c r="P66" s="22" t="s">
        <v>337</v>
      </c>
      <c r="Q66" s="22" t="s">
        <v>42</v>
      </c>
      <c r="R66" s="22" t="s">
        <v>181</v>
      </c>
      <c r="S66" s="22" t="s">
        <v>42</v>
      </c>
      <c r="T66" s="22" t="s">
        <v>34</v>
      </c>
      <c r="U66" s="22" t="s">
        <v>42</v>
      </c>
      <c r="V66" s="22" t="s">
        <v>338</v>
      </c>
      <c r="W66" s="22" t="s">
        <v>44</v>
      </c>
      <c r="X66" s="22" t="s">
        <v>42</v>
      </c>
      <c r="Y66" s="22" t="s">
        <v>339</v>
      </c>
    </row>
    <row r="67" spans="1:25" ht="15.75" customHeight="1" x14ac:dyDescent="0.3">
      <c r="A67" s="9" t="s">
        <v>340</v>
      </c>
      <c r="B67" s="9" t="s">
        <v>31</v>
      </c>
      <c r="C67" s="9"/>
      <c r="D67" s="11"/>
      <c r="E67" s="12" t="s">
        <v>32</v>
      </c>
      <c r="F67" s="14"/>
      <c r="G67" s="14" t="s">
        <v>341</v>
      </c>
      <c r="H67" s="14" t="s">
        <v>42</v>
      </c>
      <c r="I67" s="14" t="s">
        <v>342</v>
      </c>
      <c r="J67" s="13" t="s">
        <v>35</v>
      </c>
      <c r="K67" s="14" t="s">
        <v>42</v>
      </c>
      <c r="L67" s="14" t="s">
        <v>313</v>
      </c>
      <c r="M67" s="13" t="s">
        <v>52</v>
      </c>
      <c r="N67" s="14" t="s">
        <v>343</v>
      </c>
      <c r="O67" s="13" t="s">
        <v>40</v>
      </c>
      <c r="P67" s="14" t="s">
        <v>55</v>
      </c>
      <c r="Q67" s="14" t="s">
        <v>42</v>
      </c>
      <c r="R67" s="14" t="s">
        <v>344</v>
      </c>
      <c r="S67" s="14" t="s">
        <v>42</v>
      </c>
      <c r="T67" s="14" t="s">
        <v>34</v>
      </c>
      <c r="U67" s="14" t="s">
        <v>34</v>
      </c>
      <c r="V67" s="14" t="s">
        <v>62</v>
      </c>
      <c r="W67" s="14" t="s">
        <v>63</v>
      </c>
      <c r="X67" s="14" t="s">
        <v>34</v>
      </c>
      <c r="Y67" s="14" t="s">
        <v>139</v>
      </c>
    </row>
    <row r="68" spans="1:25" ht="15.75" customHeight="1" x14ac:dyDescent="0.3">
      <c r="A68" s="9" t="s">
        <v>345</v>
      </c>
      <c r="B68" s="9" t="s">
        <v>31</v>
      </c>
      <c r="C68" s="9"/>
      <c r="D68" s="11"/>
      <c r="E68" s="12" t="s">
        <v>32</v>
      </c>
      <c r="F68" s="22"/>
      <c r="G68" s="22" t="s">
        <v>172</v>
      </c>
      <c r="H68" s="22" t="s">
        <v>42</v>
      </c>
      <c r="I68" s="22" t="s">
        <v>346</v>
      </c>
      <c r="J68" s="21" t="s">
        <v>35</v>
      </c>
      <c r="K68" s="22" t="s">
        <v>42</v>
      </c>
      <c r="L68" s="22" t="s">
        <v>347</v>
      </c>
      <c r="M68" s="21" t="s">
        <v>225</v>
      </c>
      <c r="N68" s="22" t="s">
        <v>348</v>
      </c>
      <c r="O68" s="21" t="s">
        <v>299</v>
      </c>
      <c r="P68" s="22" t="s">
        <v>55</v>
      </c>
      <c r="Q68" s="22" t="s">
        <v>42</v>
      </c>
      <c r="R68" s="22" t="s">
        <v>181</v>
      </c>
      <c r="S68" s="22" t="s">
        <v>42</v>
      </c>
      <c r="T68" s="22" t="s">
        <v>34</v>
      </c>
      <c r="U68" s="22" t="s">
        <v>34</v>
      </c>
      <c r="V68" s="22" t="s">
        <v>43</v>
      </c>
      <c r="W68" s="22" t="s">
        <v>44</v>
      </c>
      <c r="X68" s="22" t="s">
        <v>34</v>
      </c>
      <c r="Y68" s="22" t="s">
        <v>252</v>
      </c>
    </row>
    <row r="69" spans="1:25" ht="15.75" customHeight="1" x14ac:dyDescent="0.3">
      <c r="A69" s="9" t="s">
        <v>349</v>
      </c>
      <c r="B69" s="9" t="s">
        <v>31</v>
      </c>
      <c r="C69" s="9"/>
      <c r="D69" s="11"/>
      <c r="E69" s="12" t="s">
        <v>32</v>
      </c>
      <c r="F69" s="14"/>
      <c r="G69" s="14" t="s">
        <v>33</v>
      </c>
      <c r="H69" s="14" t="s">
        <v>34</v>
      </c>
      <c r="I69" s="14"/>
      <c r="J69" s="13" t="s">
        <v>35</v>
      </c>
      <c r="K69" s="14" t="s">
        <v>42</v>
      </c>
      <c r="L69" s="14" t="s">
        <v>350</v>
      </c>
      <c r="M69" s="13" t="s">
        <v>52</v>
      </c>
      <c r="N69" s="14" t="s">
        <v>351</v>
      </c>
      <c r="O69" s="13" t="s">
        <v>54</v>
      </c>
      <c r="P69" s="14" t="s">
        <v>41</v>
      </c>
      <c r="Q69" s="14" t="s">
        <v>56</v>
      </c>
      <c r="R69" s="14" t="s">
        <v>352</v>
      </c>
      <c r="S69" s="14" t="s">
        <v>42</v>
      </c>
      <c r="T69" s="14" t="s">
        <v>34</v>
      </c>
      <c r="U69" s="14" t="s">
        <v>42</v>
      </c>
      <c r="V69" s="14" t="s">
        <v>62</v>
      </c>
      <c r="W69" s="14" t="s">
        <v>44</v>
      </c>
      <c r="X69" s="14" t="s">
        <v>34</v>
      </c>
      <c r="Y69" s="14" t="s">
        <v>353</v>
      </c>
    </row>
    <row r="70" spans="1:25" ht="15.75" customHeight="1" x14ac:dyDescent="0.3">
      <c r="A70" s="9" t="s">
        <v>354</v>
      </c>
      <c r="B70" s="9" t="s">
        <v>31</v>
      </c>
      <c r="C70" s="9"/>
      <c r="D70" s="11"/>
      <c r="E70" s="12" t="s">
        <v>32</v>
      </c>
      <c r="F70" s="22"/>
      <c r="G70" s="22" t="s">
        <v>341</v>
      </c>
      <c r="H70" s="22" t="s">
        <v>42</v>
      </c>
      <c r="I70" s="22" t="s">
        <v>190</v>
      </c>
      <c r="J70" s="21" t="s">
        <v>35</v>
      </c>
      <c r="K70" s="22" t="s">
        <v>42</v>
      </c>
      <c r="L70" s="22" t="s">
        <v>355</v>
      </c>
      <c r="M70" s="21" t="s">
        <v>52</v>
      </c>
      <c r="N70" s="22" t="s">
        <v>356</v>
      </c>
      <c r="O70" s="21" t="s">
        <v>40</v>
      </c>
      <c r="P70" s="22" t="s">
        <v>55</v>
      </c>
      <c r="Q70" s="22" t="s">
        <v>33</v>
      </c>
      <c r="R70" s="22"/>
      <c r="S70" s="22" t="s">
        <v>34</v>
      </c>
      <c r="T70" s="22" t="s">
        <v>42</v>
      </c>
      <c r="U70" s="22" t="s">
        <v>34</v>
      </c>
      <c r="V70" s="22" t="s">
        <v>43</v>
      </c>
      <c r="W70" s="22" t="s">
        <v>44</v>
      </c>
      <c r="X70" s="22" t="s">
        <v>34</v>
      </c>
      <c r="Y70" s="22" t="s">
        <v>45</v>
      </c>
    </row>
    <row r="71" spans="1:25" ht="15.75" customHeight="1" x14ac:dyDescent="0.3">
      <c r="A71" s="9" t="s">
        <v>357</v>
      </c>
      <c r="B71" s="9" t="s">
        <v>31</v>
      </c>
      <c r="C71" s="9"/>
      <c r="D71" s="11"/>
      <c r="E71" s="12" t="s">
        <v>32</v>
      </c>
      <c r="F71" s="14"/>
      <c r="G71" s="14" t="s">
        <v>296</v>
      </c>
      <c r="H71" s="14" t="s">
        <v>34</v>
      </c>
      <c r="I71" s="14"/>
      <c r="J71" s="13" t="s">
        <v>126</v>
      </c>
      <c r="K71" s="14" t="s">
        <v>42</v>
      </c>
      <c r="L71" s="14" t="s">
        <v>358</v>
      </c>
      <c r="M71" s="13" t="s">
        <v>225</v>
      </c>
      <c r="N71" s="14" t="s">
        <v>359</v>
      </c>
      <c r="O71" s="13" t="s">
        <v>54</v>
      </c>
      <c r="P71" s="14" t="s">
        <v>164</v>
      </c>
      <c r="Q71" s="14" t="s">
        <v>42</v>
      </c>
      <c r="R71" s="14" t="s">
        <v>360</v>
      </c>
      <c r="S71" s="14" t="s">
        <v>34</v>
      </c>
      <c r="T71" s="14" t="s">
        <v>34</v>
      </c>
      <c r="U71" s="14" t="s">
        <v>34</v>
      </c>
      <c r="V71" s="14" t="s">
        <v>43</v>
      </c>
      <c r="W71" s="14" t="s">
        <v>44</v>
      </c>
      <c r="X71" s="14" t="s">
        <v>34</v>
      </c>
      <c r="Y71" s="14" t="s">
        <v>45</v>
      </c>
    </row>
    <row r="72" spans="1:25" ht="15.75" customHeight="1" x14ac:dyDescent="0.3">
      <c r="A72" s="9" t="s">
        <v>361</v>
      </c>
      <c r="B72" s="9" t="s">
        <v>31</v>
      </c>
      <c r="C72" s="9"/>
      <c r="D72" s="11"/>
      <c r="E72" s="12" t="s">
        <v>32</v>
      </c>
      <c r="F72" s="22"/>
      <c r="G72" s="22" t="s">
        <v>172</v>
      </c>
      <c r="H72" s="22" t="s">
        <v>34</v>
      </c>
      <c r="I72" s="22"/>
      <c r="J72" s="21" t="s">
        <v>35</v>
      </c>
      <c r="K72" s="22" t="s">
        <v>42</v>
      </c>
      <c r="L72" s="22" t="s">
        <v>362</v>
      </c>
      <c r="M72" s="21" t="s">
        <v>52</v>
      </c>
      <c r="N72" s="22" t="s">
        <v>363</v>
      </c>
      <c r="O72" s="21" t="s">
        <v>54</v>
      </c>
      <c r="P72" s="22" t="s">
        <v>164</v>
      </c>
      <c r="Q72" s="22" t="s">
        <v>42</v>
      </c>
      <c r="R72" s="22" t="s">
        <v>364</v>
      </c>
      <c r="S72" s="22" t="s">
        <v>42</v>
      </c>
      <c r="T72" s="22" t="s">
        <v>34</v>
      </c>
      <c r="U72" s="22" t="s">
        <v>34</v>
      </c>
      <c r="V72" s="22" t="s">
        <v>338</v>
      </c>
      <c r="W72" s="22" t="s">
        <v>44</v>
      </c>
      <c r="X72" s="22" t="s">
        <v>42</v>
      </c>
      <c r="Y72" s="22" t="s">
        <v>365</v>
      </c>
    </row>
    <row r="73" spans="1:25" ht="15.75" customHeight="1" x14ac:dyDescent="0.3">
      <c r="A73" s="9" t="s">
        <v>366</v>
      </c>
      <c r="B73" s="9" t="s">
        <v>31</v>
      </c>
      <c r="C73" s="9"/>
      <c r="D73" s="11"/>
      <c r="E73" s="12" t="s">
        <v>32</v>
      </c>
      <c r="F73" s="14"/>
      <c r="G73" s="14" t="s">
        <v>367</v>
      </c>
      <c r="H73" s="14" t="s">
        <v>34</v>
      </c>
      <c r="I73" s="14"/>
      <c r="J73" s="13" t="s">
        <v>35</v>
      </c>
      <c r="K73" s="14" t="s">
        <v>42</v>
      </c>
      <c r="L73" s="14" t="s">
        <v>368</v>
      </c>
      <c r="M73" s="13" t="s">
        <v>52</v>
      </c>
      <c r="N73" s="14" t="s">
        <v>369</v>
      </c>
      <c r="O73" s="13" t="s">
        <v>54</v>
      </c>
      <c r="P73" s="14" t="s">
        <v>107</v>
      </c>
      <c r="Q73" s="14" t="s">
        <v>42</v>
      </c>
      <c r="R73" s="14" t="s">
        <v>370</v>
      </c>
      <c r="S73" s="14" t="s">
        <v>42</v>
      </c>
      <c r="T73" s="14" t="s">
        <v>42</v>
      </c>
      <c r="U73" s="14" t="s">
        <v>34</v>
      </c>
      <c r="V73" s="14" t="s">
        <v>43</v>
      </c>
      <c r="W73" s="14" t="s">
        <v>44</v>
      </c>
      <c r="X73" s="14" t="s">
        <v>34</v>
      </c>
      <c r="Y73" s="14" t="s">
        <v>45</v>
      </c>
    </row>
    <row r="74" spans="1:25" ht="15.75" customHeight="1" x14ac:dyDescent="0.3">
      <c r="A74" s="9" t="s">
        <v>371</v>
      </c>
      <c r="B74" s="9" t="s">
        <v>31</v>
      </c>
      <c r="C74" s="9"/>
      <c r="D74" s="11"/>
      <c r="E74" s="9" t="s">
        <v>70</v>
      </c>
      <c r="F74" s="22"/>
      <c r="G74" s="22" t="s">
        <v>372</v>
      </c>
      <c r="H74" s="22" t="s">
        <v>34</v>
      </c>
      <c r="I74" s="22"/>
      <c r="J74" s="21" t="s">
        <v>35</v>
      </c>
      <c r="K74" s="22" t="s">
        <v>42</v>
      </c>
      <c r="L74" s="22" t="s">
        <v>313</v>
      </c>
      <c r="M74" s="21" t="s">
        <v>314</v>
      </c>
      <c r="N74" s="22" t="s">
        <v>373</v>
      </c>
      <c r="O74" s="21" t="s">
        <v>40</v>
      </c>
      <c r="P74" s="22" t="s">
        <v>107</v>
      </c>
      <c r="Q74" s="22" t="s">
        <v>42</v>
      </c>
      <c r="R74" s="22" t="s">
        <v>374</v>
      </c>
      <c r="S74" s="22" t="s">
        <v>34</v>
      </c>
      <c r="T74" s="22" t="s">
        <v>42</v>
      </c>
      <c r="U74" s="22" t="s">
        <v>34</v>
      </c>
      <c r="V74" s="22" t="s">
        <v>62</v>
      </c>
      <c r="W74" s="22" t="s">
        <v>63</v>
      </c>
      <c r="X74" s="22" t="s">
        <v>34</v>
      </c>
      <c r="Y74" s="22" t="s">
        <v>173</v>
      </c>
    </row>
    <row r="75" spans="1:25" ht="15.75" customHeight="1" x14ac:dyDescent="0.3">
      <c r="A75" s="9" t="s">
        <v>375</v>
      </c>
      <c r="B75" s="9" t="s">
        <v>31</v>
      </c>
      <c r="C75" s="9"/>
      <c r="D75" s="11"/>
      <c r="E75" s="12" t="s">
        <v>32</v>
      </c>
      <c r="F75" s="14"/>
      <c r="G75" s="14" t="s">
        <v>376</v>
      </c>
      <c r="H75" s="14" t="s">
        <v>34</v>
      </c>
      <c r="I75" s="14"/>
      <c r="J75" s="13" t="s">
        <v>377</v>
      </c>
      <c r="K75" s="14" t="s">
        <v>42</v>
      </c>
      <c r="L75" s="14" t="s">
        <v>378</v>
      </c>
      <c r="M75" s="13" t="s">
        <v>113</v>
      </c>
      <c r="N75" s="14" t="s">
        <v>379</v>
      </c>
      <c r="O75" s="13" t="s">
        <v>305</v>
      </c>
      <c r="P75" s="14" t="s">
        <v>107</v>
      </c>
      <c r="Q75" s="14" t="s">
        <v>42</v>
      </c>
      <c r="R75" s="14" t="s">
        <v>380</v>
      </c>
      <c r="S75" s="14" t="s">
        <v>42</v>
      </c>
      <c r="T75" s="14" t="s">
        <v>42</v>
      </c>
      <c r="U75" s="14" t="s">
        <v>34</v>
      </c>
      <c r="V75" s="14" t="s">
        <v>338</v>
      </c>
      <c r="W75" s="14" t="s">
        <v>44</v>
      </c>
      <c r="X75" s="14" t="s">
        <v>42</v>
      </c>
      <c r="Y75" s="14" t="s">
        <v>381</v>
      </c>
    </row>
    <row r="76" spans="1:25" ht="15.75" customHeight="1" x14ac:dyDescent="0.3">
      <c r="A76" s="9" t="s">
        <v>382</v>
      </c>
      <c r="B76" s="9" t="s">
        <v>31</v>
      </c>
      <c r="C76" s="9"/>
      <c r="D76" s="11"/>
      <c r="E76" s="9" t="s">
        <v>70</v>
      </c>
      <c r="F76" s="22"/>
      <c r="G76" s="22" t="s">
        <v>49</v>
      </c>
      <c r="H76" s="22" t="s">
        <v>42</v>
      </c>
      <c r="I76" s="22" t="s">
        <v>383</v>
      </c>
      <c r="J76" s="21" t="s">
        <v>35</v>
      </c>
      <c r="K76" s="22" t="s">
        <v>42</v>
      </c>
      <c r="L76" s="22" t="s">
        <v>313</v>
      </c>
      <c r="M76" s="21" t="s">
        <v>52</v>
      </c>
      <c r="N76" s="22" t="s">
        <v>384</v>
      </c>
      <c r="O76" s="21" t="s">
        <v>40</v>
      </c>
      <c r="P76" s="22" t="s">
        <v>55</v>
      </c>
      <c r="Q76" s="22" t="s">
        <v>42</v>
      </c>
      <c r="R76" s="22" t="s">
        <v>385</v>
      </c>
      <c r="S76" s="22" t="s">
        <v>34</v>
      </c>
      <c r="T76" s="22" t="s">
        <v>42</v>
      </c>
      <c r="U76" s="22" t="s">
        <v>34</v>
      </c>
      <c r="V76" s="22" t="s">
        <v>43</v>
      </c>
      <c r="W76" s="22" t="s">
        <v>33</v>
      </c>
      <c r="X76" s="22" t="s">
        <v>34</v>
      </c>
      <c r="Y76" s="22" t="s">
        <v>33</v>
      </c>
    </row>
    <row r="77" spans="1:25" ht="15.75" customHeight="1" x14ac:dyDescent="0.3">
      <c r="A77" s="9" t="s">
        <v>386</v>
      </c>
      <c r="B77" s="9" t="s">
        <v>31</v>
      </c>
      <c r="C77" s="9"/>
      <c r="D77" s="11"/>
      <c r="E77" s="12" t="s">
        <v>32</v>
      </c>
      <c r="F77" s="14"/>
      <c r="G77" s="14" t="s">
        <v>172</v>
      </c>
      <c r="H77" s="14" t="s">
        <v>42</v>
      </c>
      <c r="I77" s="14" t="s">
        <v>387</v>
      </c>
      <c r="J77" s="13" t="s">
        <v>35</v>
      </c>
      <c r="K77" s="14" t="s">
        <v>42</v>
      </c>
      <c r="L77" s="14" t="s">
        <v>388</v>
      </c>
      <c r="M77" s="13" t="s">
        <v>225</v>
      </c>
      <c r="N77" s="14" t="s">
        <v>389</v>
      </c>
      <c r="O77" s="13" t="s">
        <v>299</v>
      </c>
      <c r="P77" s="14" t="s">
        <v>55</v>
      </c>
      <c r="Q77" s="14" t="s">
        <v>42</v>
      </c>
      <c r="R77" s="14" t="s">
        <v>181</v>
      </c>
      <c r="S77" s="14" t="s">
        <v>34</v>
      </c>
      <c r="T77" s="14" t="s">
        <v>42</v>
      </c>
      <c r="U77" s="14" t="s">
        <v>34</v>
      </c>
      <c r="V77" s="14" t="s">
        <v>95</v>
      </c>
      <c r="W77" s="14" t="s">
        <v>44</v>
      </c>
      <c r="X77" s="14" t="s">
        <v>34</v>
      </c>
      <c r="Y77" s="14" t="s">
        <v>96</v>
      </c>
    </row>
    <row r="78" spans="1:25" ht="15.75" customHeight="1" x14ac:dyDescent="0.3">
      <c r="A78" s="9" t="s">
        <v>390</v>
      </c>
      <c r="B78" s="9" t="s">
        <v>31</v>
      </c>
      <c r="C78" s="9"/>
      <c r="D78" s="11"/>
      <c r="E78" s="12" t="s">
        <v>32</v>
      </c>
      <c r="F78" s="22"/>
      <c r="G78" s="22" t="s">
        <v>391</v>
      </c>
      <c r="H78" s="22" t="s">
        <v>34</v>
      </c>
      <c r="I78" s="22"/>
      <c r="J78" s="21" t="s">
        <v>35</v>
      </c>
      <c r="K78" s="22" t="s">
        <v>42</v>
      </c>
      <c r="L78" s="22" t="s">
        <v>392</v>
      </c>
      <c r="M78" s="21" t="s">
        <v>314</v>
      </c>
      <c r="N78" s="22" t="s">
        <v>393</v>
      </c>
      <c r="O78" s="21" t="s">
        <v>40</v>
      </c>
      <c r="P78" s="22" t="s">
        <v>107</v>
      </c>
      <c r="Q78" s="22" t="s">
        <v>42</v>
      </c>
      <c r="R78" s="22" t="s">
        <v>236</v>
      </c>
      <c r="S78" s="22" t="s">
        <v>34</v>
      </c>
      <c r="T78" s="22" t="s">
        <v>34</v>
      </c>
      <c r="U78" s="22" t="s">
        <v>34</v>
      </c>
      <c r="V78" s="22" t="s">
        <v>62</v>
      </c>
      <c r="W78" s="22" t="s">
        <v>63</v>
      </c>
      <c r="X78" s="22" t="s">
        <v>34</v>
      </c>
      <c r="Y78" s="22" t="s">
        <v>108</v>
      </c>
    </row>
    <row r="79" spans="1:25" ht="15.75" customHeight="1" x14ac:dyDescent="0.3">
      <c r="A79" s="9" t="s">
        <v>394</v>
      </c>
      <c r="B79" s="9" t="s">
        <v>31</v>
      </c>
      <c r="C79" s="9"/>
      <c r="D79" s="11"/>
      <c r="E79" s="12" t="s">
        <v>32</v>
      </c>
      <c r="F79" s="14"/>
      <c r="G79" s="14" t="s">
        <v>49</v>
      </c>
      <c r="H79" s="14" t="s">
        <v>42</v>
      </c>
      <c r="I79" s="14" t="s">
        <v>395</v>
      </c>
      <c r="J79" s="13" t="s">
        <v>83</v>
      </c>
      <c r="K79" s="14" t="s">
        <v>42</v>
      </c>
      <c r="L79" s="14" t="s">
        <v>396</v>
      </c>
      <c r="M79" s="13" t="s">
        <v>52</v>
      </c>
      <c r="N79" s="14" t="s">
        <v>397</v>
      </c>
      <c r="O79" s="13" t="s">
        <v>305</v>
      </c>
      <c r="P79" s="14" t="s">
        <v>55</v>
      </c>
      <c r="Q79" s="14" t="s">
        <v>42</v>
      </c>
      <c r="R79" s="14" t="s">
        <v>132</v>
      </c>
      <c r="S79" s="14" t="s">
        <v>34</v>
      </c>
      <c r="T79" s="14" t="s">
        <v>42</v>
      </c>
      <c r="U79" s="14" t="s">
        <v>34</v>
      </c>
      <c r="V79" s="14" t="s">
        <v>62</v>
      </c>
      <c r="W79" s="14" t="s">
        <v>63</v>
      </c>
      <c r="X79" s="14" t="s">
        <v>34</v>
      </c>
      <c r="Y79" s="14" t="s">
        <v>90</v>
      </c>
    </row>
    <row r="80" spans="1:25" ht="15.75" customHeight="1" x14ac:dyDescent="0.3">
      <c r="A80" s="9" t="s">
        <v>398</v>
      </c>
      <c r="B80" s="9" t="s">
        <v>31</v>
      </c>
      <c r="C80" s="9"/>
      <c r="D80" s="11"/>
      <c r="E80" s="12" t="s">
        <v>32</v>
      </c>
      <c r="F80" s="22"/>
      <c r="G80" s="22" t="s">
        <v>172</v>
      </c>
      <c r="H80" s="22" t="s">
        <v>42</v>
      </c>
      <c r="I80" s="22" t="s">
        <v>399</v>
      </c>
      <c r="J80" s="21" t="s">
        <v>35</v>
      </c>
      <c r="K80" s="22" t="s">
        <v>42</v>
      </c>
      <c r="L80" s="22" t="s">
        <v>400</v>
      </c>
      <c r="M80" s="21" t="s">
        <v>113</v>
      </c>
      <c r="N80" s="22" t="s">
        <v>401</v>
      </c>
      <c r="O80" s="21" t="s">
        <v>54</v>
      </c>
      <c r="P80" s="22" t="s">
        <v>55</v>
      </c>
      <c r="Q80" s="22" t="s">
        <v>42</v>
      </c>
      <c r="R80" s="22" t="s">
        <v>33</v>
      </c>
      <c r="S80" s="22" t="s">
        <v>42</v>
      </c>
      <c r="T80" s="22" t="s">
        <v>34</v>
      </c>
      <c r="U80" s="22" t="s">
        <v>34</v>
      </c>
      <c r="V80" s="22" t="s">
        <v>43</v>
      </c>
      <c r="W80" s="22" t="s">
        <v>44</v>
      </c>
      <c r="X80" s="22" t="s">
        <v>34</v>
      </c>
      <c r="Y80" s="22" t="s">
        <v>45</v>
      </c>
    </row>
    <row r="81" spans="1:25" ht="15.75" customHeight="1" x14ac:dyDescent="0.3">
      <c r="A81" s="9" t="s">
        <v>410</v>
      </c>
      <c r="B81" s="9" t="s">
        <v>31</v>
      </c>
      <c r="C81" s="9"/>
      <c r="D81" s="11"/>
      <c r="E81" s="12" t="s">
        <v>32</v>
      </c>
      <c r="F81" s="14"/>
      <c r="G81" s="14" t="s">
        <v>33</v>
      </c>
      <c r="H81" s="14" t="s">
        <v>34</v>
      </c>
      <c r="I81" s="14"/>
      <c r="J81" s="13" t="s">
        <v>35</v>
      </c>
      <c r="K81" s="14" t="s">
        <v>42</v>
      </c>
      <c r="L81" s="14" t="s">
        <v>411</v>
      </c>
      <c r="M81" s="13" t="s">
        <v>309</v>
      </c>
      <c r="N81" s="14" t="s">
        <v>412</v>
      </c>
      <c r="O81" s="13" t="s">
        <v>40</v>
      </c>
      <c r="P81" s="14" t="s">
        <v>337</v>
      </c>
      <c r="Q81" s="14" t="s">
        <v>42</v>
      </c>
      <c r="R81" s="14" t="s">
        <v>413</v>
      </c>
      <c r="S81" s="14" t="s">
        <v>42</v>
      </c>
      <c r="T81" s="14" t="s">
        <v>34</v>
      </c>
      <c r="U81" s="14" t="s">
        <v>42</v>
      </c>
      <c r="V81" s="14" t="s">
        <v>62</v>
      </c>
      <c r="W81" s="14" t="s">
        <v>63</v>
      </c>
      <c r="X81" s="14" t="s">
        <v>34</v>
      </c>
      <c r="Y81" s="14" t="s">
        <v>173</v>
      </c>
    </row>
    <row r="82" spans="1:25" ht="15.75" customHeight="1" x14ac:dyDescent="0.3">
      <c r="A82" s="9" t="s">
        <v>414</v>
      </c>
      <c r="B82" s="9" t="s">
        <v>31</v>
      </c>
      <c r="C82" s="9"/>
      <c r="D82" s="11"/>
      <c r="E82" s="12" t="s">
        <v>32</v>
      </c>
      <c r="F82" s="22"/>
      <c r="G82" s="22" t="s">
        <v>105</v>
      </c>
      <c r="H82" s="22" t="s">
        <v>34</v>
      </c>
      <c r="I82" s="22"/>
      <c r="J82" s="21" t="s">
        <v>35</v>
      </c>
      <c r="K82" s="22" t="s">
        <v>34</v>
      </c>
      <c r="L82" s="22"/>
      <c r="M82" s="21" t="s">
        <v>113</v>
      </c>
      <c r="N82" s="22" t="s">
        <v>415</v>
      </c>
      <c r="O82" s="21" t="s">
        <v>305</v>
      </c>
      <c r="P82" s="22" t="s">
        <v>337</v>
      </c>
      <c r="Q82" s="22" t="s">
        <v>33</v>
      </c>
      <c r="R82" s="22"/>
      <c r="S82" s="22" t="s">
        <v>42</v>
      </c>
      <c r="T82" s="22" t="s">
        <v>34</v>
      </c>
      <c r="U82" s="22" t="s">
        <v>42</v>
      </c>
      <c r="V82" s="22" t="s">
        <v>62</v>
      </c>
      <c r="W82" s="22" t="s">
        <v>33</v>
      </c>
      <c r="X82" s="22" t="s">
        <v>34</v>
      </c>
      <c r="Y82" s="22" t="s">
        <v>33</v>
      </c>
    </row>
    <row r="83" spans="1:25" ht="15.75" customHeight="1" x14ac:dyDescent="0.3">
      <c r="A83" s="9" t="s">
        <v>416</v>
      </c>
      <c r="B83" s="9" t="s">
        <v>31</v>
      </c>
      <c r="C83" s="9"/>
      <c r="D83" s="11"/>
      <c r="E83" s="9" t="s">
        <v>70</v>
      </c>
      <c r="F83" s="14"/>
      <c r="G83" s="14" t="s">
        <v>417</v>
      </c>
      <c r="H83" s="14" t="s">
        <v>42</v>
      </c>
      <c r="I83" s="14" t="s">
        <v>418</v>
      </c>
      <c r="J83" s="13" t="s">
        <v>35</v>
      </c>
      <c r="K83" s="14" t="s">
        <v>42</v>
      </c>
      <c r="L83" s="14" t="s">
        <v>419</v>
      </c>
      <c r="M83" s="13" t="s">
        <v>52</v>
      </c>
      <c r="N83" s="14" t="s">
        <v>420</v>
      </c>
      <c r="O83" s="13" t="s">
        <v>170</v>
      </c>
      <c r="P83" s="14" t="s">
        <v>55</v>
      </c>
      <c r="Q83" s="14" t="s">
        <v>34</v>
      </c>
      <c r="R83" s="14"/>
      <c r="S83" s="14" t="s">
        <v>42</v>
      </c>
      <c r="T83" s="14" t="s">
        <v>34</v>
      </c>
      <c r="U83" s="14" t="s">
        <v>34</v>
      </c>
      <c r="V83" s="14" t="s">
        <v>43</v>
      </c>
      <c r="W83" s="14" t="s">
        <v>44</v>
      </c>
      <c r="X83" s="14" t="s">
        <v>34</v>
      </c>
      <c r="Y83" s="14" t="s">
        <v>165</v>
      </c>
    </row>
    <row r="84" spans="1:25" ht="15.75" customHeight="1" x14ac:dyDescent="0.3">
      <c r="A84" s="9" t="s">
        <v>421</v>
      </c>
      <c r="B84" s="9" t="s">
        <v>31</v>
      </c>
      <c r="C84" s="9"/>
      <c r="D84" s="11"/>
      <c r="E84" s="12" t="s">
        <v>32</v>
      </c>
      <c r="F84" s="22"/>
      <c r="G84" s="22" t="s">
        <v>422</v>
      </c>
      <c r="H84" s="22" t="s">
        <v>34</v>
      </c>
      <c r="I84" s="22"/>
      <c r="J84" s="21" t="s">
        <v>35</v>
      </c>
      <c r="K84" s="22" t="s">
        <v>42</v>
      </c>
      <c r="L84" s="22" t="s">
        <v>423</v>
      </c>
      <c r="M84" s="21" t="s">
        <v>309</v>
      </c>
      <c r="N84" s="22" t="s">
        <v>424</v>
      </c>
      <c r="O84" s="21" t="s">
        <v>40</v>
      </c>
      <c r="P84" s="22" t="s">
        <v>107</v>
      </c>
      <c r="Q84" s="22" t="s">
        <v>42</v>
      </c>
      <c r="R84" s="22" t="s">
        <v>360</v>
      </c>
      <c r="S84" s="22" t="s">
        <v>42</v>
      </c>
      <c r="T84" s="22" t="s">
        <v>34</v>
      </c>
      <c r="U84" s="22" t="s">
        <v>34</v>
      </c>
      <c r="V84" s="22" t="s">
        <v>43</v>
      </c>
      <c r="W84" s="22" t="s">
        <v>44</v>
      </c>
      <c r="X84" s="22" t="s">
        <v>34</v>
      </c>
      <c r="Y84" s="22" t="s">
        <v>45</v>
      </c>
    </row>
    <row r="85" spans="1:25" ht="15.75" customHeight="1" x14ac:dyDescent="0.3">
      <c r="A85" s="9" t="s">
        <v>425</v>
      </c>
      <c r="B85" s="9" t="s">
        <v>31</v>
      </c>
      <c r="C85" s="9"/>
      <c r="D85" s="11"/>
      <c r="E85" s="9" t="s">
        <v>70</v>
      </c>
      <c r="F85" s="14"/>
      <c r="G85" s="14" t="s">
        <v>49</v>
      </c>
      <c r="H85" s="14" t="s">
        <v>34</v>
      </c>
      <c r="I85" s="14"/>
      <c r="J85" s="13" t="s">
        <v>35</v>
      </c>
      <c r="K85" s="14" t="s">
        <v>34</v>
      </c>
      <c r="L85" s="14"/>
      <c r="M85" s="13" t="s">
        <v>52</v>
      </c>
      <c r="N85" s="14" t="s">
        <v>426</v>
      </c>
      <c r="O85" s="13" t="s">
        <v>40</v>
      </c>
      <c r="P85" s="14" t="s">
        <v>41</v>
      </c>
      <c r="Q85" s="14" t="s">
        <v>33</v>
      </c>
      <c r="R85" s="14"/>
      <c r="S85" s="14" t="s">
        <v>34</v>
      </c>
      <c r="T85" s="14" t="s">
        <v>42</v>
      </c>
      <c r="U85" s="14" t="s">
        <v>42</v>
      </c>
      <c r="V85" s="14" t="s">
        <v>43</v>
      </c>
      <c r="W85" s="14" t="s">
        <v>33</v>
      </c>
      <c r="X85" s="14" t="s">
        <v>34</v>
      </c>
      <c r="Y85" s="14" t="s">
        <v>45</v>
      </c>
    </row>
    <row r="86" spans="1:25" ht="15.75" customHeight="1" x14ac:dyDescent="0.3">
      <c r="A86" s="9" t="s">
        <v>427</v>
      </c>
      <c r="B86" s="9" t="s">
        <v>31</v>
      </c>
      <c r="C86" s="9"/>
      <c r="D86" s="11"/>
      <c r="E86" s="9" t="s">
        <v>70</v>
      </c>
      <c r="F86" s="22"/>
      <c r="G86" s="22" t="s">
        <v>49</v>
      </c>
      <c r="H86" s="22" t="s">
        <v>42</v>
      </c>
      <c r="I86" s="22" t="s">
        <v>190</v>
      </c>
      <c r="J86" s="21" t="s">
        <v>35</v>
      </c>
      <c r="K86" s="22" t="s">
        <v>42</v>
      </c>
      <c r="L86" s="22" t="s">
        <v>428</v>
      </c>
      <c r="M86" s="21" t="s">
        <v>52</v>
      </c>
      <c r="N86" s="22" t="s">
        <v>429</v>
      </c>
      <c r="O86" s="21" t="s">
        <v>40</v>
      </c>
      <c r="P86" s="22" t="s">
        <v>55</v>
      </c>
      <c r="Q86" s="22" t="s">
        <v>42</v>
      </c>
      <c r="R86" s="22" t="s">
        <v>385</v>
      </c>
      <c r="S86" s="22" t="s">
        <v>42</v>
      </c>
      <c r="T86" s="22" t="s">
        <v>42</v>
      </c>
      <c r="U86" s="22" t="s">
        <v>34</v>
      </c>
      <c r="V86" s="22" t="s">
        <v>43</v>
      </c>
      <c r="W86" s="22" t="s">
        <v>44</v>
      </c>
      <c r="X86" s="22" t="s">
        <v>34</v>
      </c>
      <c r="Y86" s="22" t="s">
        <v>45</v>
      </c>
    </row>
    <row r="87" spans="1:25" ht="15.75" customHeight="1" x14ac:dyDescent="0.3">
      <c r="A87" s="9" t="s">
        <v>430</v>
      </c>
      <c r="B87" s="9" t="s">
        <v>31</v>
      </c>
      <c r="C87" s="9"/>
      <c r="D87" s="11"/>
      <c r="E87" s="12" t="s">
        <v>32</v>
      </c>
      <c r="F87" s="14"/>
      <c r="G87" s="14" t="s">
        <v>172</v>
      </c>
      <c r="H87" s="14" t="s">
        <v>34</v>
      </c>
      <c r="I87" s="14"/>
      <c r="J87" s="13" t="s">
        <v>83</v>
      </c>
      <c r="K87" s="14" t="s">
        <v>42</v>
      </c>
      <c r="L87" s="14" t="s">
        <v>431</v>
      </c>
      <c r="M87" s="13" t="s">
        <v>52</v>
      </c>
      <c r="N87" s="14" t="s">
        <v>432</v>
      </c>
      <c r="O87" s="13" t="s">
        <v>40</v>
      </c>
      <c r="P87" s="14" t="s">
        <v>337</v>
      </c>
      <c r="Q87" s="14" t="s">
        <v>42</v>
      </c>
      <c r="R87" s="14" t="s">
        <v>433</v>
      </c>
      <c r="S87" s="14" t="s">
        <v>42</v>
      </c>
      <c r="T87" s="14" t="s">
        <v>34</v>
      </c>
      <c r="U87" s="14" t="s">
        <v>42</v>
      </c>
      <c r="V87" s="14" t="s">
        <v>43</v>
      </c>
      <c r="W87" s="14" t="s">
        <v>63</v>
      </c>
      <c r="X87" s="14" t="s">
        <v>34</v>
      </c>
      <c r="Y87" s="14" t="s">
        <v>116</v>
      </c>
    </row>
    <row r="88" spans="1:25" ht="15.75" customHeight="1" x14ac:dyDescent="0.3">
      <c r="A88" s="9" t="s">
        <v>434</v>
      </c>
      <c r="B88" s="9" t="s">
        <v>31</v>
      </c>
      <c r="C88" s="9"/>
      <c r="D88" s="11"/>
      <c r="E88" s="12" t="s">
        <v>32</v>
      </c>
      <c r="F88" s="22"/>
      <c r="G88" s="22" t="s">
        <v>33</v>
      </c>
      <c r="H88" s="22" t="s">
        <v>42</v>
      </c>
      <c r="I88" s="22" t="s">
        <v>435</v>
      </c>
      <c r="J88" s="21" t="s">
        <v>35</v>
      </c>
      <c r="K88" s="22" t="s">
        <v>42</v>
      </c>
      <c r="L88" s="22" t="s">
        <v>436</v>
      </c>
      <c r="M88" s="21" t="s">
        <v>52</v>
      </c>
      <c r="N88" s="22" t="s">
        <v>437</v>
      </c>
      <c r="O88" s="21" t="s">
        <v>299</v>
      </c>
      <c r="P88" s="22" t="s">
        <v>438</v>
      </c>
      <c r="Q88" s="22" t="s">
        <v>42</v>
      </c>
      <c r="R88" s="22" t="s">
        <v>439</v>
      </c>
      <c r="S88" s="22" t="s">
        <v>42</v>
      </c>
      <c r="T88" s="22" t="s">
        <v>34</v>
      </c>
      <c r="U88" s="22" t="s">
        <v>42</v>
      </c>
      <c r="V88" s="22" t="s">
        <v>62</v>
      </c>
      <c r="W88" s="22" t="s">
        <v>63</v>
      </c>
      <c r="X88" s="22" t="s">
        <v>34</v>
      </c>
      <c r="Y88" s="22" t="s">
        <v>139</v>
      </c>
    </row>
    <row r="89" spans="1:25" ht="15.75" customHeight="1" x14ac:dyDescent="0.3">
      <c r="A89" s="9" t="s">
        <v>440</v>
      </c>
      <c r="B89" s="9" t="s">
        <v>31</v>
      </c>
      <c r="C89" s="9"/>
      <c r="D89" s="11"/>
      <c r="E89" s="12" t="s">
        <v>32</v>
      </c>
      <c r="F89" s="14"/>
      <c r="G89" s="14" t="s">
        <v>105</v>
      </c>
      <c r="H89" s="14" t="s">
        <v>34</v>
      </c>
      <c r="I89" s="14"/>
      <c r="J89" s="13" t="s">
        <v>35</v>
      </c>
      <c r="K89" s="14" t="s">
        <v>34</v>
      </c>
      <c r="L89" s="14"/>
      <c r="M89" s="13" t="s">
        <v>314</v>
      </c>
      <c r="N89" s="14" t="s">
        <v>441</v>
      </c>
      <c r="O89" s="13" t="s">
        <v>54</v>
      </c>
      <c r="P89" s="14" t="s">
        <v>164</v>
      </c>
      <c r="Q89" s="14" t="s">
        <v>42</v>
      </c>
      <c r="R89" s="14" t="s">
        <v>442</v>
      </c>
      <c r="S89" s="14" t="s">
        <v>42</v>
      </c>
      <c r="T89" s="14" t="s">
        <v>34</v>
      </c>
      <c r="U89" s="14" t="s">
        <v>34</v>
      </c>
      <c r="V89" s="14" t="s">
        <v>33</v>
      </c>
      <c r="W89" s="14" t="s">
        <v>33</v>
      </c>
      <c r="X89" s="14" t="s">
        <v>34</v>
      </c>
      <c r="Y89" s="14" t="s">
        <v>33</v>
      </c>
    </row>
    <row r="90" spans="1:25" ht="15.75" customHeight="1" x14ac:dyDescent="0.3"/>
    <row r="91" spans="1:25" ht="15.75" customHeight="1" x14ac:dyDescent="0.3"/>
    <row r="92" spans="1:25" ht="15.75" customHeight="1" x14ac:dyDescent="0.3"/>
    <row r="93" spans="1:25" ht="15.75" customHeight="1" x14ac:dyDescent="0.3"/>
    <row r="94" spans="1:25" ht="15.75" customHeight="1" x14ac:dyDescent="0.3"/>
    <row r="95" spans="1:25" ht="15.75" customHeight="1" x14ac:dyDescent="0.3"/>
    <row r="96" spans="1:25"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A1:Y1"/>
  </mergeCells>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00"/>
  <sheetViews>
    <sheetView showGridLines="0" workbookViewId="0">
      <selection sqref="A1:G1"/>
    </sheetView>
  </sheetViews>
  <sheetFormatPr baseColWidth="10" defaultColWidth="14.44140625" defaultRowHeight="15" customHeight="1" x14ac:dyDescent="0.3"/>
  <cols>
    <col min="1" max="1" width="18" customWidth="1"/>
    <col min="2" max="2" width="8" customWidth="1"/>
    <col min="3" max="3" width="12" customWidth="1"/>
    <col min="4" max="4" width="4" customWidth="1"/>
    <col min="5" max="5" width="16" customWidth="1"/>
    <col min="6" max="6" width="8" customWidth="1"/>
    <col min="7" max="7" width="55" customWidth="1"/>
    <col min="8" max="26" width="8.6640625" customWidth="1"/>
  </cols>
  <sheetData>
    <row r="1" spans="1:7" ht="34.5" customHeight="1" x14ac:dyDescent="0.3">
      <c r="A1" s="58" t="s">
        <v>453</v>
      </c>
      <c r="B1" s="45"/>
      <c r="C1" s="45"/>
      <c r="D1" s="45"/>
      <c r="E1" s="45"/>
      <c r="F1" s="45"/>
      <c r="G1" s="46"/>
    </row>
    <row r="3" spans="1:7" ht="14.4" x14ac:dyDescent="0.3">
      <c r="A3" s="59" t="s">
        <v>454</v>
      </c>
      <c r="B3" s="48"/>
      <c r="C3" s="49"/>
      <c r="E3" s="59" t="s">
        <v>455</v>
      </c>
      <c r="F3" s="48"/>
      <c r="G3" s="49"/>
    </row>
    <row r="4" spans="1:7" ht="14.4" x14ac:dyDescent="0.3">
      <c r="A4" s="24" t="s">
        <v>456</v>
      </c>
      <c r="B4" s="24" t="s">
        <v>457</v>
      </c>
      <c r="C4" s="24" t="s">
        <v>458</v>
      </c>
      <c r="E4" s="24" t="s">
        <v>459</v>
      </c>
      <c r="F4" s="24" t="s">
        <v>457</v>
      </c>
      <c r="G4" s="24" t="s">
        <v>460</v>
      </c>
    </row>
    <row r="5" spans="1:7" ht="14.4" x14ac:dyDescent="0.3">
      <c r="A5" s="25" t="s">
        <v>31</v>
      </c>
      <c r="B5" s="25">
        <v>87</v>
      </c>
      <c r="C5" s="25" t="s">
        <v>461</v>
      </c>
      <c r="E5" s="4" t="s">
        <v>123</v>
      </c>
      <c r="F5" s="15">
        <v>20</v>
      </c>
      <c r="G5" s="14" t="s">
        <v>462</v>
      </c>
    </row>
    <row r="6" spans="1:7" ht="22.8" x14ac:dyDescent="0.3">
      <c r="A6" s="26" t="s">
        <v>122</v>
      </c>
      <c r="B6" s="26">
        <v>21</v>
      </c>
      <c r="C6" s="26" t="s">
        <v>463</v>
      </c>
      <c r="E6" s="4" t="s">
        <v>403</v>
      </c>
      <c r="F6" s="15">
        <v>1</v>
      </c>
      <c r="G6" s="22" t="s">
        <v>464</v>
      </c>
    </row>
    <row r="7" spans="1:7" ht="14.4" x14ac:dyDescent="0.3">
      <c r="A7" s="27" t="s">
        <v>102</v>
      </c>
      <c r="B7" s="27">
        <v>3</v>
      </c>
      <c r="C7" s="27" t="s">
        <v>465</v>
      </c>
    </row>
    <row r="8" spans="1:7" ht="14.4" x14ac:dyDescent="0.3">
      <c r="A8" s="28" t="s">
        <v>466</v>
      </c>
      <c r="B8" s="28">
        <v>111</v>
      </c>
      <c r="C8" s="28" t="s">
        <v>467</v>
      </c>
    </row>
    <row r="11" spans="1:7" ht="14.4" x14ac:dyDescent="0.3">
      <c r="A11" s="60" t="s">
        <v>468</v>
      </c>
      <c r="B11" s="48"/>
      <c r="C11" s="49"/>
    </row>
    <row r="12" spans="1:7" ht="14.4" x14ac:dyDescent="0.3">
      <c r="A12" s="29" t="s">
        <v>469</v>
      </c>
      <c r="B12" s="29" t="s">
        <v>457</v>
      </c>
      <c r="C12" s="29" t="s">
        <v>458</v>
      </c>
    </row>
    <row r="13" spans="1:7" ht="14.4" x14ac:dyDescent="0.3">
      <c r="A13" s="12" t="s">
        <v>32</v>
      </c>
      <c r="B13" s="12">
        <v>66</v>
      </c>
      <c r="C13" s="12" t="s">
        <v>470</v>
      </c>
    </row>
    <row r="14" spans="1:7" ht="14.4" x14ac:dyDescent="0.3">
      <c r="A14" s="9" t="s">
        <v>70</v>
      </c>
      <c r="B14" s="9">
        <v>14</v>
      </c>
      <c r="C14" s="9" t="s">
        <v>471</v>
      </c>
    </row>
    <row r="15" spans="1:7" ht="14.4" x14ac:dyDescent="0.3">
      <c r="A15" s="16" t="s">
        <v>161</v>
      </c>
      <c r="B15" s="16">
        <v>5</v>
      </c>
      <c r="C15" s="16" t="s">
        <v>472</v>
      </c>
    </row>
    <row r="16" spans="1:7" ht="14.4" x14ac:dyDescent="0.3">
      <c r="A16" s="15" t="s">
        <v>47</v>
      </c>
      <c r="B16" s="15">
        <v>2</v>
      </c>
      <c r="C16" s="15" t="s">
        <v>473</v>
      </c>
    </row>
    <row r="18" spans="1:7" ht="14.4" x14ac:dyDescent="0.3">
      <c r="A18" s="61" t="s">
        <v>474</v>
      </c>
      <c r="B18" s="48"/>
      <c r="C18" s="48"/>
      <c r="D18" s="48"/>
      <c r="E18" s="48"/>
      <c r="F18" s="48"/>
      <c r="G18" s="49"/>
    </row>
    <row r="19" spans="1:7" ht="31.5" customHeight="1" x14ac:dyDescent="0.3">
      <c r="A19" s="56" t="s">
        <v>475</v>
      </c>
      <c r="B19" s="48"/>
      <c r="C19" s="48"/>
      <c r="D19" s="48"/>
      <c r="E19" s="48"/>
      <c r="F19" s="48"/>
      <c r="G19" s="49"/>
    </row>
    <row r="20" spans="1:7" ht="31.5" customHeight="1" x14ac:dyDescent="0.3">
      <c r="A20" s="57" t="s">
        <v>476</v>
      </c>
      <c r="B20" s="48"/>
      <c r="C20" s="48"/>
      <c r="D20" s="48"/>
      <c r="E20" s="48"/>
      <c r="F20" s="48"/>
      <c r="G20" s="49"/>
    </row>
    <row r="21" spans="1:7" ht="31.5" customHeight="1" x14ac:dyDescent="0.3">
      <c r="A21" s="56" t="s">
        <v>477</v>
      </c>
      <c r="B21" s="48"/>
      <c r="C21" s="48"/>
      <c r="D21" s="48"/>
      <c r="E21" s="48"/>
      <c r="F21" s="48"/>
      <c r="G21" s="49"/>
    </row>
    <row r="22" spans="1:7" ht="31.5" customHeight="1" x14ac:dyDescent="0.3">
      <c r="A22" s="57" t="s">
        <v>478</v>
      </c>
      <c r="B22" s="48"/>
      <c r="C22" s="48"/>
      <c r="D22" s="48"/>
      <c r="E22" s="48"/>
      <c r="F22" s="48"/>
      <c r="G22" s="49"/>
    </row>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9">
    <mergeCell ref="A21:G21"/>
    <mergeCell ref="A22:G22"/>
    <mergeCell ref="A1:G1"/>
    <mergeCell ref="A3:C3"/>
    <mergeCell ref="E3:G3"/>
    <mergeCell ref="A11:C11"/>
    <mergeCell ref="A18:G18"/>
    <mergeCell ref="A19:G19"/>
    <mergeCell ref="A20:G20"/>
  </mergeCell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Data</vt:lpstr>
      <vt:lpstr>Extracted Data + Decision</vt:lpstr>
      <vt:lpstr>Excluded</vt:lpstr>
      <vt:lpstr>Needs Verification</vt:lpstr>
      <vt:lpstr>Included</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Sebastian Gonzalez Rossi</cp:lastModifiedBy>
  <dcterms:created xsi:type="dcterms:W3CDTF">2026-05-03T16:43:07Z</dcterms:created>
  <dcterms:modified xsi:type="dcterms:W3CDTF">2026-05-24T22:26:05Z</dcterms:modified>
</cp:coreProperties>
</file>